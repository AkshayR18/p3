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-MU_Robot_PCG_01\OneDrive - Absa\My Documents\NOP - Markets\2020\Robot_Data\08 Aug\210820\MISC\"/>
    </mc:Choice>
  </mc:AlternateContent>
  <bookViews>
    <workbookView xWindow="720" yWindow="9465" windowWidth="15600" windowHeight="2160" tabRatio="842" activeTab="1"/>
  </bookViews>
  <sheets>
    <sheet name="fx deals outs reworked" sheetId="2" r:id="rId1"/>
    <sheet name="pivot FX DEALS OUT" sheetId="3" r:id="rId2"/>
    <sheet name="FA LIVE" sheetId="4" r:id="rId3"/>
    <sheet name="PIVOT FA LIVE" sheetId="5" r:id="rId4"/>
    <sheet name="COMPARISON" sheetId="6" r:id="rId5"/>
    <sheet name="CURR FX DEALS OUT" sheetId="9" r:id="rId6"/>
    <sheet name="CURR FA LIVE" sheetId="8" r:id="rId7"/>
    <sheet name="SUMMARY" sheetId="7" r:id="rId8"/>
    <sheet name="Sheet1" sheetId="10" r:id="rId9"/>
    <sheet name="Sheet2" sheetId="11" r:id="rId10"/>
  </sheets>
  <definedNames>
    <definedName name="_xlnm._FilterDatabase" localSheetId="6" hidden="1">'CURR FA LIVE'!$A$1:$B$134</definedName>
    <definedName name="_xlnm._FilterDatabase" localSheetId="5" hidden="1">'CURR FX DEALS OUT'!$A$1:$T$175</definedName>
    <definedName name="_xlnm._FilterDatabase" localSheetId="2" hidden="1">'FA LIVE'!$A$1:$N$293</definedName>
    <definedName name="_xlnm._FilterDatabase" localSheetId="0" hidden="1">'fx deals outs reworked'!$A$1:$S$230</definedName>
    <definedName name="_xlnm._FilterDatabase" localSheetId="7" hidden="1">SUMMARY!$A$2:$M$32</definedName>
  </definedNames>
  <calcPr calcId="162913"/>
  <pivotCaches>
    <pivotCache cacheId="5" r:id="rId11"/>
    <pivotCache cacheId="24" r:id="rId12"/>
    <pivotCache cacheId="27" r:id="rId13"/>
  </pivotCaches>
</workbook>
</file>

<file path=xl/calcChain.xml><?xml version="1.0" encoding="utf-8"?>
<calcChain xmlns="http://schemas.openxmlformats.org/spreadsheetml/2006/main">
  <c r="F93" i="7" l="1"/>
  <c r="C93" i="7"/>
  <c r="B93" i="7"/>
  <c r="B37" i="7" l="1"/>
  <c r="B38" i="7"/>
  <c r="C37" i="7" l="1"/>
  <c r="C38" i="7"/>
  <c r="F37" i="7"/>
  <c r="F38" i="7" l="1"/>
  <c r="B39" i="7" l="1"/>
  <c r="C39" i="7"/>
  <c r="F39" i="7"/>
  <c r="B40" i="7"/>
  <c r="C40" i="7"/>
  <c r="F40" i="7"/>
  <c r="C41" i="7" l="1"/>
  <c r="C42" i="7"/>
  <c r="C43" i="7"/>
  <c r="B41" i="7"/>
  <c r="B42" i="7"/>
  <c r="B43" i="7"/>
  <c r="F41" i="7"/>
  <c r="T168" i="9" l="1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102" i="9" l="1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B36" i="7" l="1"/>
  <c r="C36" i="7"/>
  <c r="F36" i="7"/>
  <c r="T2" i="9" l="1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F42" i="7" l="1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C3" i="6"/>
  <c r="C3" i="7" s="1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T167" i="9"/>
  <c r="T166" i="9"/>
  <c r="T165" i="9"/>
  <c r="T164" i="9"/>
  <c r="T163" i="9"/>
  <c r="T162" i="9"/>
  <c r="T161" i="9"/>
  <c r="T160" i="9"/>
  <c r="T159" i="9"/>
  <c r="T158" i="9"/>
  <c r="T157" i="9"/>
  <c r="T156" i="9"/>
  <c r="T155" i="9"/>
  <c r="T154" i="9"/>
  <c r="T153" i="9"/>
  <c r="T152" i="9"/>
  <c r="T151" i="9"/>
  <c r="T150" i="9"/>
  <c r="T149" i="9"/>
  <c r="E141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114" i="7"/>
  <c r="C140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114" i="7"/>
  <c r="B140" i="7"/>
  <c r="C4" i="6"/>
  <c r="C4" i="7" s="1"/>
  <c r="C5" i="6"/>
  <c r="C5" i="7" s="1"/>
  <c r="C6" i="6"/>
  <c r="C6" i="7" s="1"/>
  <c r="C7" i="6"/>
  <c r="C7" i="7" s="1"/>
  <c r="C8" i="6"/>
  <c r="C8" i="7" s="1"/>
  <c r="C9" i="6"/>
  <c r="C9" i="7" s="1"/>
  <c r="C10" i="6"/>
  <c r="C10" i="7" s="1"/>
  <c r="C11" i="6"/>
  <c r="C11" i="7" s="1"/>
  <c r="C12" i="6"/>
  <c r="C12" i="7" s="1"/>
  <c r="C13" i="6"/>
  <c r="C13" i="7" s="1"/>
  <c r="C14" i="6"/>
  <c r="C14" i="7" s="1"/>
  <c r="C15" i="6"/>
  <c r="C15" i="7" s="1"/>
  <c r="C16" i="6"/>
  <c r="C16" i="7" s="1"/>
  <c r="B16" i="6"/>
  <c r="B16" i="7" s="1"/>
  <c r="C17" i="6"/>
  <c r="C17" i="7" s="1"/>
  <c r="B17" i="6"/>
  <c r="B17" i="7" s="1"/>
  <c r="C18" i="6"/>
  <c r="C18" i="7" s="1"/>
  <c r="B18" i="6"/>
  <c r="B18" i="7" s="1"/>
  <c r="C19" i="6"/>
  <c r="C19" i="7" s="1"/>
  <c r="B19" i="6"/>
  <c r="B19" i="7" s="1"/>
  <c r="C20" i="6"/>
  <c r="C20" i="7" s="1"/>
  <c r="B20" i="6"/>
  <c r="B20" i="7" s="1"/>
  <c r="C21" i="6"/>
  <c r="C21" i="7" s="1"/>
  <c r="B21" i="6"/>
  <c r="B21" i="7" s="1"/>
  <c r="C22" i="6"/>
  <c r="C22" i="7" s="1"/>
  <c r="C23" i="6"/>
  <c r="C23" i="7" s="1"/>
  <c r="C24" i="6"/>
  <c r="C24" i="7" s="1"/>
  <c r="C25" i="6"/>
  <c r="C25" i="7" s="1"/>
  <c r="C26" i="6"/>
  <c r="C26" i="7" s="1"/>
  <c r="C27" i="6"/>
  <c r="C27" i="7" s="1"/>
  <c r="C28" i="6"/>
  <c r="C28" i="7" s="1"/>
  <c r="C29" i="6"/>
  <c r="C29" i="7" s="1"/>
  <c r="B29" i="6"/>
  <c r="B29" i="7" s="1"/>
  <c r="C30" i="6"/>
  <c r="C30" i="7" s="1"/>
  <c r="B30" i="6"/>
  <c r="B30" i="7" s="1"/>
  <c r="C31" i="6"/>
  <c r="C31" i="7" s="1"/>
  <c r="C32" i="6"/>
  <c r="C32" i="7" s="1"/>
  <c r="B4" i="6"/>
  <c r="B4" i="7" s="1"/>
  <c r="B5" i="6"/>
  <c r="B5" i="7" s="1"/>
  <c r="B6" i="6"/>
  <c r="B6" i="7" s="1"/>
  <c r="B7" i="6"/>
  <c r="B7" i="7" s="1"/>
  <c r="B8" i="6"/>
  <c r="B8" i="7" s="1"/>
  <c r="B9" i="6"/>
  <c r="B9" i="7" s="1"/>
  <c r="B10" i="6"/>
  <c r="B10" i="7" s="1"/>
  <c r="B11" i="6"/>
  <c r="B11" i="7" s="1"/>
  <c r="B12" i="6"/>
  <c r="B12" i="7" s="1"/>
  <c r="B13" i="6"/>
  <c r="B13" i="7" s="1"/>
  <c r="B14" i="6"/>
  <c r="B14" i="7" s="1"/>
  <c r="B15" i="6"/>
  <c r="B15" i="7" s="1"/>
  <c r="B22" i="6"/>
  <c r="B22" i="7" s="1"/>
  <c r="B23" i="6"/>
  <c r="B23" i="7" s="1"/>
  <c r="B24" i="6"/>
  <c r="B24" i="7" s="1"/>
  <c r="B25" i="6"/>
  <c r="B25" i="7" s="1"/>
  <c r="B26" i="6"/>
  <c r="B26" i="7" s="1"/>
  <c r="B27" i="6"/>
  <c r="B27" i="7" s="1"/>
  <c r="B28" i="6"/>
  <c r="B28" i="7" s="1"/>
  <c r="B31" i="6"/>
  <c r="B31" i="7" s="1"/>
  <c r="B32" i="6"/>
  <c r="B32" i="7" s="1"/>
  <c r="B3" i="6"/>
  <c r="B3" i="7" s="1"/>
  <c r="D22" i="7" l="1"/>
  <c r="D12" i="7"/>
  <c r="D8" i="7"/>
  <c r="D4" i="7"/>
  <c r="D14" i="7"/>
  <c r="D10" i="7"/>
  <c r="D6" i="7"/>
  <c r="D3" i="7"/>
  <c r="D27" i="7"/>
  <c r="D23" i="7"/>
  <c r="D13" i="7"/>
  <c r="D9" i="7"/>
  <c r="D5" i="7"/>
  <c r="D30" i="7"/>
  <c r="D31" i="7"/>
  <c r="D25" i="7"/>
  <c r="D15" i="7"/>
  <c r="D11" i="7"/>
  <c r="D7" i="7"/>
  <c r="D29" i="7"/>
  <c r="D32" i="7"/>
  <c r="D28" i="7"/>
  <c r="D26" i="7"/>
  <c r="D24" i="7"/>
  <c r="D21" i="7"/>
  <c r="D20" i="7"/>
  <c r="D19" i="7"/>
  <c r="D18" i="7"/>
  <c r="D17" i="7"/>
  <c r="D16" i="7"/>
  <c r="D27" i="6"/>
  <c r="D11" i="6"/>
  <c r="D17" i="6"/>
  <c r="D7" i="6"/>
  <c r="D23" i="6"/>
  <c r="D30" i="6"/>
  <c r="D5" i="6"/>
  <c r="D9" i="6"/>
  <c r="D19" i="6"/>
  <c r="D14" i="6"/>
  <c r="D21" i="6"/>
  <c r="D10" i="6"/>
  <c r="D6" i="6"/>
  <c r="D8" i="6"/>
  <c r="D3" i="6"/>
  <c r="D16" i="6"/>
  <c r="D18" i="6"/>
  <c r="D4" i="6"/>
  <c r="F141" i="7"/>
  <c r="H34" i="7" s="1"/>
  <c r="D29" i="6"/>
  <c r="D32" i="6"/>
  <c r="D25" i="6"/>
  <c r="D28" i="6"/>
  <c r="D31" i="6"/>
  <c r="D22" i="6"/>
  <c r="D20" i="6"/>
  <c r="D24" i="6"/>
  <c r="D15" i="6"/>
  <c r="D13" i="6"/>
  <c r="D26" i="6"/>
  <c r="D12" i="6"/>
  <c r="J34" i="7" l="1"/>
</calcChain>
</file>

<file path=xl/sharedStrings.xml><?xml version="1.0" encoding="utf-8"?>
<sst xmlns="http://schemas.openxmlformats.org/spreadsheetml/2006/main" count="4014" uniqueCount="436">
  <si>
    <t>Deal Date</t>
  </si>
  <si>
    <t>Value Date</t>
  </si>
  <si>
    <t>Counterparty</t>
  </si>
  <si>
    <t>External Counterparty</t>
  </si>
  <si>
    <t>Direction</t>
  </si>
  <si>
    <t>CCY 1 Amount</t>
  </si>
  <si>
    <t>CCY 1</t>
  </si>
  <si>
    <t>CCY 2 Amount</t>
  </si>
  <si>
    <t>CCY 2</t>
  </si>
  <si>
    <t>Exchange Rate</t>
  </si>
  <si>
    <t>Book</t>
  </si>
  <si>
    <t>Dealer</t>
  </si>
  <si>
    <t>Status</t>
  </si>
  <si>
    <t>TPL</t>
  </si>
  <si>
    <t>Cash</t>
  </si>
  <si>
    <t>Val</t>
  </si>
  <si>
    <t>JPY</t>
  </si>
  <si>
    <t>USD</t>
  </si>
  <si>
    <t>MUR</t>
  </si>
  <si>
    <t>AED</t>
  </si>
  <si>
    <t>ZAR</t>
  </si>
  <si>
    <t>AUD</t>
  </si>
  <si>
    <t>EUR</t>
  </si>
  <si>
    <t>CAD</t>
  </si>
  <si>
    <t>SGD</t>
  </si>
  <si>
    <t>GBP</t>
  </si>
  <si>
    <t>NZD</t>
  </si>
  <si>
    <t>HKD</t>
  </si>
  <si>
    <t>SCR</t>
  </si>
  <si>
    <t>Row Labels</t>
  </si>
  <si>
    <t>(blank)</t>
  </si>
  <si>
    <t>Grand Total</t>
  </si>
  <si>
    <t>Sum of CCY 1 Amount</t>
  </si>
  <si>
    <t>Sum of CCY 2 Amount</t>
  </si>
  <si>
    <t>Sum of Sum of CCY 1 Amount</t>
  </si>
  <si>
    <t>SysID</t>
  </si>
  <si>
    <t>Sum of Nominal</t>
  </si>
  <si>
    <t>Currency</t>
  </si>
  <si>
    <t xml:space="preserve">Live FX Deals on Access </t>
  </si>
  <si>
    <t xml:space="preserve"> Live FX Deals on FA </t>
  </si>
  <si>
    <t>Diff</t>
  </si>
  <si>
    <t>Comments</t>
  </si>
  <si>
    <t>BHD</t>
  </si>
  <si>
    <t>BWP</t>
  </si>
  <si>
    <t>CHF</t>
  </si>
  <si>
    <t>CNH</t>
  </si>
  <si>
    <t>DKK</t>
  </si>
  <si>
    <t>GHS</t>
  </si>
  <si>
    <t>INR</t>
  </si>
  <si>
    <t>KES</t>
  </si>
  <si>
    <t>KWD</t>
  </si>
  <si>
    <t>MAD</t>
  </si>
  <si>
    <t>MZN</t>
  </si>
  <si>
    <t>NOK</t>
  </si>
  <si>
    <t>SAR</t>
  </si>
  <si>
    <t>SEK</t>
  </si>
  <si>
    <t>THB</t>
  </si>
  <si>
    <t>TZS</t>
  </si>
  <si>
    <t>UGX</t>
  </si>
  <si>
    <t>ZMW</t>
  </si>
  <si>
    <t>PIVOT BY CCY 1</t>
  </si>
  <si>
    <t>PIVOT BY CCY 2</t>
  </si>
  <si>
    <t>PIVOT FOR BOTH CC1 &amp; CCY2</t>
  </si>
  <si>
    <t>trade</t>
  </si>
  <si>
    <t>Trade Type</t>
  </si>
  <si>
    <t>EARLY SETTLEMENT</t>
  </si>
  <si>
    <t>XX</t>
  </si>
  <si>
    <t>Net PnL</t>
  </si>
  <si>
    <t>Deal</t>
  </si>
  <si>
    <t>Name</t>
  </si>
  <si>
    <t>Value date</t>
  </si>
  <si>
    <t>IDKEY</t>
  </si>
  <si>
    <t>CUR</t>
  </si>
  <si>
    <t>Value Day</t>
  </si>
  <si>
    <t>CounterParty</t>
  </si>
  <si>
    <t>Price</t>
  </si>
  <si>
    <t>Nominal</t>
  </si>
  <si>
    <t>Ageing1</t>
  </si>
  <si>
    <t>Ageing2</t>
  </si>
  <si>
    <t>Customer</t>
  </si>
  <si>
    <t>Relationship Manager</t>
  </si>
  <si>
    <t>Comment</t>
  </si>
  <si>
    <t>Sell</t>
  </si>
  <si>
    <t>MR_ON SandT CIB_FX</t>
  </si>
  <si>
    <t>A94100698</t>
  </si>
  <si>
    <t>BO-BO Confirmed</t>
  </si>
  <si>
    <t>Buy</t>
  </si>
  <si>
    <t>G01058632</t>
  </si>
  <si>
    <t>MAURITIUS SUGAR SYNDICATE</t>
  </si>
  <si>
    <t>G01201900</t>
  </si>
  <si>
    <t>MR_ON SandT FXMarkets</t>
  </si>
  <si>
    <t>G44529946</t>
  </si>
  <si>
    <t>BO Confirmed</t>
  </si>
  <si>
    <t>FX Spot</t>
  </si>
  <si>
    <t>BARCLAYS BANK PLC LONDON</t>
  </si>
  <si>
    <t>No Entries Verified</t>
  </si>
  <si>
    <t>ABSA BANK</t>
  </si>
  <si>
    <t>MR_ON SandT FXMarkets Swaps</t>
  </si>
  <si>
    <t>FX Fwd</t>
  </si>
  <si>
    <t>BANK ONE</t>
  </si>
  <si>
    <t>MR_ON SandT FXMarkets Fwds</t>
  </si>
  <si>
    <t>FX Swap</t>
  </si>
  <si>
    <t>ESQUEL (MAURITIUS) LTD</t>
  </si>
  <si>
    <t>AZUR FINANCIAL SERVICES LTD</t>
  </si>
  <si>
    <t>LAFARGE</t>
  </si>
  <si>
    <t>MRC WIRE PRODUCTS LTD</t>
  </si>
  <si>
    <t>G01884883</t>
  </si>
  <si>
    <t>A94100042</t>
  </si>
  <si>
    <t>MR_ON SandT Commercial FX</t>
  </si>
  <si>
    <t>PnL</t>
  </si>
  <si>
    <t>ABC MOTORS LTD</t>
  </si>
  <si>
    <t>BH PROPERTY INVESTMENTS LTD</t>
  </si>
  <si>
    <t>G01049329</t>
  </si>
  <si>
    <t>BANK OF MAURITIUS</t>
  </si>
  <si>
    <t>GAMMA CONSTRUCTION LTD</t>
  </si>
  <si>
    <t>H10042101</t>
  </si>
  <si>
    <t>TIANLI SPINNING (MAURITIUS) CO LTD</t>
  </si>
  <si>
    <t>H10041277</t>
  </si>
  <si>
    <t>IRELAND BLYTH LIMITED</t>
  </si>
  <si>
    <t>H.VAULBERT DE CHANTILLY LTD(HVC LTD)</t>
  </si>
  <si>
    <t>MESH AND STEEL TRADING LTD</t>
  </si>
  <si>
    <t>TERRA FINANCE LTD</t>
  </si>
  <si>
    <t>G01271033</t>
  </si>
  <si>
    <t>Absa Bank Seychelles (ABSC)</t>
  </si>
  <si>
    <t>MSJ LTD</t>
  </si>
  <si>
    <t>G01259438</t>
  </si>
  <si>
    <t>SBM HOLDINGS LTD</t>
  </si>
  <si>
    <t>PANAGORA MARKETING CO LTD</t>
  </si>
  <si>
    <t>NUMELEC LTD</t>
  </si>
  <si>
    <t>CFAO MOTORS MAURITIUS LTD</t>
  </si>
  <si>
    <t>CITIBANK N.A. LONDON</t>
  </si>
  <si>
    <t>G01065515</t>
  </si>
  <si>
    <t>MEADERS FEEDS LTD</t>
  </si>
  <si>
    <t>Mauritius IBD</t>
  </si>
  <si>
    <t>PHARMACIE NOUVELLE LTD</t>
  </si>
  <si>
    <t>JOONAS AND CO LTD</t>
  </si>
  <si>
    <t>KOLOS CEMENT LIMITED</t>
  </si>
  <si>
    <t>OMNICANE LIMITED</t>
  </si>
  <si>
    <t>MAURITIUS OIL REFINERIES LTD</t>
  </si>
  <si>
    <t>LIVESTOCK FEED LTD</t>
  </si>
  <si>
    <t>DUCRAY LENOIR LIMITED</t>
  </si>
  <si>
    <t>QUALITY BEVERAGES LTD</t>
  </si>
  <si>
    <t>OMNICANE MILLING OPERATIONS LIMITED</t>
  </si>
  <si>
    <t>INTERNATIONAL DISTILLERS (MAURITIUS)LTD</t>
  </si>
  <si>
    <t>AED878996814/08/202024/08/2020ABSA BANK3.672791000000</t>
  </si>
  <si>
    <t>Less than 90 days</t>
  </si>
  <si>
    <t/>
  </si>
  <si>
    <t>AUD881111120/08/202024/08/2020BARCLAYS BANK PLC LONDON0.71608-2000</t>
  </si>
  <si>
    <t>AUD881128620/08/202024/08/2020BARCLAYS BANK PLC LONDON0.71596-6000</t>
  </si>
  <si>
    <t>CNH876191110/08/202025/08/2020BARCLAYS BANK PLC LONDON6.977972000000</t>
  </si>
  <si>
    <t>EUR880896220/08/202024/08/2020QUALITY BEVERAGES LTD47.2400000</t>
  </si>
  <si>
    <t>Jaimie Purmah</t>
  </si>
  <si>
    <t>EUR880896120/08/202024/08/2020BARCLAYS BANK PLC LONDON1.1853-200000</t>
  </si>
  <si>
    <t>EUR550732714/06/201811/10/2022BH PROPERTY INVESTMENTS LTD44.9522246.94</t>
  </si>
  <si>
    <t>EUR880894120/08/202024/08/2020PHARMACIE NOUVELLE LTD47.18274283.86</t>
  </si>
  <si>
    <t>Kavita Ramruttun</t>
  </si>
  <si>
    <t>EUR880894020/08/202024/08/2020BARCLAYS BANK PLC LONDON1.18516-74000</t>
  </si>
  <si>
    <t>EUR880046518/08/202025/08/2020ABSA BANK1.1943923000000</t>
  </si>
  <si>
    <t>EUR879478717/08/202028/08/2020MAURITIUS SUGAR SYNDICATE47.095-3000000</t>
  </si>
  <si>
    <t>C Yue Chi Ming</t>
  </si>
  <si>
    <t>EUR880906720/08/202024/08/2020BARCLAYS BANK PLC LONDON1.1824200000</t>
  </si>
  <si>
    <t>EUR550734814/06/201810/11/2022BH PROPERTY INVESTMENTS LTD44.9522246.94</t>
  </si>
  <si>
    <t>EUR868411222/07/202029/10/2020MAURITIUS SUGAR SYNDICATE46.75-500000</t>
  </si>
  <si>
    <t>EUR869705524/07/202029/01/2021NUMELEC LTD47.5610000</t>
  </si>
  <si>
    <t>Rodolphe Couronne</t>
  </si>
  <si>
    <t>EUR550739214/06/201812/12/2022BH PROPERTY INVESTMENTS LTD44.9522246.94</t>
  </si>
  <si>
    <t>EUR879476217/08/202027/08/2020MAURITIUS SUGAR SYNDICATE47.095-2000000</t>
  </si>
  <si>
    <t>EUR864260113/07/202020/11/2020MAURITIUS SUGAR SYNDICATE46-500000</t>
  </si>
  <si>
    <t>EUR869654624/07/202015/10/2020MRC WIRE PRODUCTS LTD47.485000</t>
  </si>
  <si>
    <t>Christine John Chuan</t>
  </si>
  <si>
    <t>EUR550728914/06/201811/08/2022BH PROPERTY INVESTMENTS LTD44.9522246.94</t>
  </si>
  <si>
    <t>EUR870813928/07/202004/09/2020MAURITIUS SUGAR SYNDICATE1.174-500000</t>
  </si>
  <si>
    <t>EUR550727914/06/201811/07/2022BH PROPERTY INVESTMENTS LTD44.9522246.94</t>
  </si>
  <si>
    <t>EUR550726614/06/201810/06/2022BH PROPERTY INVESTMENTS LTD44.9522246.94</t>
  </si>
  <si>
    <t>EUR550724514/06/201810/05/2022BH PROPERTY INVESTMENTS LTD44.9522246.94</t>
  </si>
  <si>
    <t>EUR860146502/07/202031/08/2020H.VAULBERT DE CHANTILLY LTD(HVC LTD)45.5875000</t>
  </si>
  <si>
    <t>EUR880909720/08/202024/08/2020Mauritius IBD1.1826-400000</t>
  </si>
  <si>
    <t>EUR879746318/08/202011/09/2020MAURITIUS SUGAR SYNDICATE1.1892-500000</t>
  </si>
  <si>
    <t>EUR550731614/06/201812/09/2022BH PROPERTY INVESTMENTS LTD44.9522246.94</t>
  </si>
  <si>
    <t>EUR550741614/06/201811/04/2023BH PROPERTY INVESTMENTS LTD44.9522246.94</t>
  </si>
  <si>
    <t>EUR875560407/08/202007/12/2020MRC WIRE PRODUCTS LTD47.5530000</t>
  </si>
  <si>
    <t>EUR874810506/08/202020/10/2020PANAGORA MARKETING CO LTD47.95182</t>
  </si>
  <si>
    <t>EUR874020005/08/202010/09/2020CFAO MOTORS MAURITIUS LTD47.39191579.43</t>
  </si>
  <si>
    <t>EUR550745814/06/201812/06/2023BH PROPERTY INVESTMENTS LTD44.9522246.94</t>
  </si>
  <si>
    <t>EUR550742514/06/201810/05/2023BH PROPERTY INVESTMENTS LTD44.9522246.94</t>
  </si>
  <si>
    <t>EUR869624124/07/202026/10/2020CFAO MOTORS MAURITIUS LTD47.5500000</t>
  </si>
  <si>
    <t>EUR798720010/02/202015/01/2021ABSA BANK1.11696-895288.01</t>
  </si>
  <si>
    <t>EUR870252127/07/202010/12/2020MAURITIUS SUGAR SYNDICATE47.6-500000</t>
  </si>
  <si>
    <t>EUR550739614/06/201810/01/2023BH PROPERTY INVESTMENTS LTD44.9522246.94</t>
  </si>
  <si>
    <t>EUR860666703/07/202030/10/2020H.VAULBERT DE CHANTILLY LTD(HVC LTD)45.33150000</t>
  </si>
  <si>
    <t>EUR872090030/07/202015/12/2020MAURITIUS SUGAR SYNDICATE47.6-500000</t>
  </si>
  <si>
    <t>EUR872694031/07/202015/09/2020MSJ LTD47.9108619</t>
  </si>
  <si>
    <t>EUR550740414/06/201810/02/2023BH PROPERTY INVESTMENTS LTD44.9522246.94</t>
  </si>
  <si>
    <t>EUR550741014/06/201810/03/2023BH PROPERTY INVESTMENTS LTD44.9522246.94</t>
  </si>
  <si>
    <t>EUR880909820/08/202024/08/2020CITIBANK N.A. LONDON1.18552000000</t>
  </si>
  <si>
    <t>Rajen Manikion</t>
  </si>
  <si>
    <t>EUR813363111/03/202015/10/2020MAURITIUS SUGAR SYNDICATE43.2-1000000</t>
  </si>
  <si>
    <t>EUR815976016/03/202015/10/2020MAURITIUS SUGAR SYNDICATE43.4-1000000</t>
  </si>
  <si>
    <t>EUR880200119/08/202011/09/2020MAURITIUS SUGAR SYNDICATE1.1941-500000</t>
  </si>
  <si>
    <t>EUR813121810/03/202030/09/2020MAURITIUS SUGAR SYNDICATE43.1-1000000</t>
  </si>
  <si>
    <t>EUR550649114/06/201810/02/2021BH PROPERTY INVESTMENTS LTD44.9522246.94</t>
  </si>
  <si>
    <t>EUR550650214/06/201810/03/2021BH PROPERTY INVESTMENTS LTD44.9522246.94</t>
  </si>
  <si>
    <t>EUR860147702/07/202030/09/2020H.VAULBERT DE CHANTILLY LTD(HVC LTD)45.62180000</t>
  </si>
  <si>
    <t>EUR550630314/06/201810/09/2020BH PROPERTY INVESTMENTS LTD44.9522246.94</t>
  </si>
  <si>
    <t>EUR881176420/08/202024/08/2020Mauritius IBD1.182692000000</t>
  </si>
  <si>
    <t>EUR881176220/08/202024/08/2020Mauritius IBD1.1855-2000000</t>
  </si>
  <si>
    <t>EUR798752810/02/202015/01/2021BANK ONE1.1172895094.88</t>
  </si>
  <si>
    <t>EUR803448420/02/202030/09/2020ABSA BANK41.36-730000</t>
  </si>
  <si>
    <t>EUR803423420/02/202028/08/2020MAURITIUS SUGAR SYNDICATE41.25-1000000</t>
  </si>
  <si>
    <t>EUR550646614/06/201811/01/2021BH PROPERTY INVESTMENTS LTD44.9522246.94</t>
  </si>
  <si>
    <t>EUR551010015/06/201810/06/2021BH PROPERTY INVESTMENTS LTD44.9522246.94</t>
  </si>
  <si>
    <t>EUR808033102/03/202030/09/2020ABSA BANK41.97-735000</t>
  </si>
  <si>
    <t>EUR550630914/06/201813/10/2020BH PROPERTY INVESTMENTS LTD44.9522246.94</t>
  </si>
  <si>
    <t>EUR550631814/06/201810/11/2020BH PROPERTY INVESTMENTS LTD44.9522246.94</t>
  </si>
  <si>
    <t>EUR811499206/03/202030/09/2020MAURITIUS SUGAR SYNDICATE42.15-1000000</t>
  </si>
  <si>
    <t>EUR550632214/06/201810/12/2020BH PROPERTY INVESTMENTS LTD44.9522246.94</t>
  </si>
  <si>
    <t>EUR818137719/03/202015/10/2020MAURITIUS SUGAR SYNDICATE43.25-500000</t>
  </si>
  <si>
    <t>EUR881112820/08/202024/08/2020BARCLAYS BANK PLC LONDON1.1848370000</t>
  </si>
  <si>
    <t>EUR880922020/08/202024/08/2020CITIBANK N.A. LONDON1.18269-2000000</t>
  </si>
  <si>
    <t>EUR550695814/06/201810/01/2022BH PROPERTY INVESTMENTS LTD44.9522246.94</t>
  </si>
  <si>
    <t>EUR856226623/06/202027/10/2020TERRA FINANCE LTD45.361250000</t>
  </si>
  <si>
    <t>EUR550720714/06/201810/03/2022BH PROPERTY INVESTMENTS LTD44.9522246.94</t>
  </si>
  <si>
    <t>EUR880916820/08/202024/08/2020BARCLAYS BANK PLC LONDON1.18169-92000</t>
  </si>
  <si>
    <t>EUR550722914/06/201811/04/2022BH PROPERTY INVESTMENTS LTD44.9522246.94</t>
  </si>
  <si>
    <t>EUR550718314/06/201810/02/2022BH PROPERTY INVESTMENTS LTD44.9522246.94</t>
  </si>
  <si>
    <t>EUR550650914/06/201812/04/2021BH PROPERTY INVESTMENTS LTD44.9522246.94</t>
  </si>
  <si>
    <t>EUR550652514/06/201810/05/2021BH PROPERTY INVESTMENTS LTD44.9522246.94</t>
  </si>
  <si>
    <t>EUR880269719/08/202021/12/2020MAURITIUS SUGAR SYNDICATE47.5-500000</t>
  </si>
  <si>
    <t>EUR550661014/06/201812/07/2021BH PROPERTY INVESTMENTS LTD44.9522246.94</t>
  </si>
  <si>
    <t>EUR550662214/06/201810/08/2021BH PROPERTY INVESTMENTS LTD44.9522246.94</t>
  </si>
  <si>
    <t>EUR880377219/08/202003/09/2020OMNICANE MILLING OPERATIONS LIMITED47.42100000</t>
  </si>
  <si>
    <t>EUR550685414/06/201810/09/2021BH PROPERTY INVESTMENTS LTD44.9522246.94</t>
  </si>
  <si>
    <t>EUR550689714/06/201812/10/2021BH PROPERTY INVESTMENTS LTD44.9522246.94</t>
  </si>
  <si>
    <t>EUR550692314/06/201810/11/2021BH PROPERTY INVESTMENTS LTD44.9522246.94</t>
  </si>
  <si>
    <t>EUR550693914/06/201810/12/2021BH PROPERTY INVESTMENTS LTD44.9522246.94</t>
  </si>
  <si>
    <t>GBP864616314/07/202016/10/2020ABSA BANK1.25322-10000000</t>
  </si>
  <si>
    <t>GBP880830720/08/202024/08/2020INTERNATIONAL DISTILLERS (MAURITIUS)LTD52.623857.05</t>
  </si>
  <si>
    <t>GBP880910320/08/202024/08/2020BARCLAYS BANK PLC LONDON1.30747-35000</t>
  </si>
  <si>
    <t>GBP881113220/08/202024/08/2020BARCLAYS BANK PLC LONDON1.31436-10000</t>
  </si>
  <si>
    <t>HKD881128220/08/202024/08/2020BARCLAYS BANK PLC LONDON7.75015-13000</t>
  </si>
  <si>
    <t>HKD876681611/08/202026/08/2020BARCLAYS BANK PLC LONDON7.750531000000</t>
  </si>
  <si>
    <t>JPY872674031/07/202016/11/2020CFAO MOTORS MAURITIUS LTD0.38574577300.6</t>
  </si>
  <si>
    <t>SCR857640326/06/202026/10/2020SBMH GROUP MAURITIUS LTD18.5829-29732640</t>
  </si>
  <si>
    <t>SBMH GROUP MAURITIUS LTD</t>
  </si>
  <si>
    <t>Harish Bhoyroo</t>
  </si>
  <si>
    <t>SCR857592726/06/202026/10/2020Absa Bank Seychelles (ABSC)18.452929524640</t>
  </si>
  <si>
    <t>SEK881111920/08/202024/08/2020BARCLAYS BANK PLC LONDON8.7421930000</t>
  </si>
  <si>
    <t>USD881096520/08/202024/08/2020GAMMA CONSTRUCTION LTD39.7937808.9</t>
  </si>
  <si>
    <t>USD881093620/08/202024/08/2020ABSA BANK17.1971000000</t>
  </si>
  <si>
    <t>USD790630920/01/202009/12/2020LAFARGE36.83400000</t>
  </si>
  <si>
    <t>USD790629720/01/202009/11/2020LAFARGE36.8400000</t>
  </si>
  <si>
    <t>USD790628520/01/202009/10/2020LAFARGE36.8400000</t>
  </si>
  <si>
    <t>USD880922020/08/202024/08/2020CITIBANK N.A. LONDON1.182692365380</t>
  </si>
  <si>
    <t>USD881128220/08/202024/08/2020BARCLAYS BANK PLC LONDON7.750151677.39</t>
  </si>
  <si>
    <t>USD790626420/01/202014/09/2020LAFARGE36.8700000</t>
  </si>
  <si>
    <t>USD792561324/01/202003/09/2020ESQUEL (MAURITIUS) LTD36.65-1000000</t>
  </si>
  <si>
    <t>Rajendranath Sham</t>
  </si>
  <si>
    <t>USD797973407/02/202003/09/2020ESQUEL (MAURITIUS) LTD36.85-500000</t>
  </si>
  <si>
    <t>USD797972907/02/202016/09/2020ESQUEL (MAURITIUS) LTD36.85-500000</t>
  </si>
  <si>
    <t>USD881174720/08/202024/08/2020Mauritius IBD17.27583-1000000</t>
  </si>
  <si>
    <t>USD881111920/08/202024/08/2020BARCLAYS BANK PLC LONDON8.74219-3431.63</t>
  </si>
  <si>
    <t>USD880906720/08/202024/08/2020BARCLAYS BANK PLC LONDON1.1824-236480</t>
  </si>
  <si>
    <t>USD881176220/08/202024/08/2020Mauritius IBD1.18552371000</t>
  </si>
  <si>
    <t>USD881176420/08/202024/08/2020Mauritius IBD1.18269-2365380</t>
  </si>
  <si>
    <t>USD881128620/08/202024/08/2020BARCLAYS BANK PLC LONDON0.715964295.76</t>
  </si>
  <si>
    <t>USD881113220/08/202024/08/2020BARCLAYS BANK PLC LONDON1.3143613143.6</t>
  </si>
  <si>
    <t>USD881112820/08/202024/08/2020BARCLAYS BANK PLC LONDON1.18483-82938.1</t>
  </si>
  <si>
    <t>USD880894020/08/202024/08/2020BARCLAYS BANK PLC LONDON1.1851687701.84</t>
  </si>
  <si>
    <t>USD880916820/08/202024/08/2020BARCLAYS BANK PLC LONDON1.18169108715.48</t>
  </si>
  <si>
    <t>USD880910320/08/202024/08/2020BARCLAYS BANK PLC LONDON1.3074745761.45</t>
  </si>
  <si>
    <t>USD880909720/08/202024/08/2020Mauritius IBD1.1826473040</t>
  </si>
  <si>
    <t>USD881111120/08/202024/08/2020BARCLAYS BANK PLC LONDON0.716081432.16</t>
  </si>
  <si>
    <t>USD880958220/08/202024/08/2020IRELAND BLYTH LIMITED39.8044900000</t>
  </si>
  <si>
    <t>USD880909820/08/202024/08/2020CITIBANK N.A. LONDON1.1855-2371000</t>
  </si>
  <si>
    <t>USD880910520/08/202024/08/2020BARCLAYS BANK PLC LONDON17.3224225400.61</t>
  </si>
  <si>
    <t>USD881029920/08/202024/08/2020OMNICANE LIMITED39.81000000</t>
  </si>
  <si>
    <t>USD881046020/08/202024/08/2020KOLOS CEMENT LIMITED39.79124800</t>
  </si>
  <si>
    <t>USD881047720/08/202024/08/2020KOLOS CEMENT LIMITED39.7956876.43</t>
  </si>
  <si>
    <t>USD880896120/08/202024/08/2020BARCLAYS BANK PLC LONDON1.1853237060</t>
  </si>
  <si>
    <t>USD876004510/08/202010/09/2020MAURITIUS SUGAR SYNDICATE39.96251000000</t>
  </si>
  <si>
    <t>USD879746318/08/202011/09/2020MAURITIUS SUGAR SYNDICATE1.1892594600</t>
  </si>
  <si>
    <t>USD880046518/08/202025/08/2020ABSA BANK1.19439-27470993</t>
  </si>
  <si>
    <t>USD879781718/08/202011/03/2021LAFARGE39.8720000</t>
  </si>
  <si>
    <t>USD879964218/08/202003/09/2020OMNICANE LIMITED39.8174556574</t>
  </si>
  <si>
    <t>USD879276817/08/202012/01/2021LAFARGE39.8720000</t>
  </si>
  <si>
    <t>USD879429817/08/202024/03/2021DUCRAY LENOIR LIMITED40.1608279</t>
  </si>
  <si>
    <t>USD879510817/08/202024/08/2020ABSA BANK39.70071511308.36</t>
  </si>
  <si>
    <t>USD861557906/07/202009/09/2020MRC WIRE PRODUCTS LTD40.238000</t>
  </si>
  <si>
    <t>USD878996814/08/202024/08/2020ABSA BANK3.67279-272272.43</t>
  </si>
  <si>
    <t>USD798752810/02/202015/01/2021BANK ONE1.1172-1000000</t>
  </si>
  <si>
    <t>USD876433011/08/202011/09/2020JOONAS AND CO LTD39.98200000</t>
  </si>
  <si>
    <t>USD876478211/08/202025/08/2020IRELAND BLYTH LIMITED39.91612350000</t>
  </si>
  <si>
    <t>USD876547511/08/202002/09/2020MAURITIUS OIL REFINERIES LTD39.94500000</t>
  </si>
  <si>
    <t>USD876681611/08/202026/08/2020BARCLAYS BANK PLC LONDON7.75053-129023.42</t>
  </si>
  <si>
    <t>USD879432617/08/202011/02/2021LAFARGE39.8720000</t>
  </si>
  <si>
    <t>USD880200119/08/202011/09/2020MAURITIUS SUGAR SYNDICATE1.1941597050</t>
  </si>
  <si>
    <t>USD878365813/08/202005/11/2020LIVESTOCK FEED LTD39.791000000</t>
  </si>
  <si>
    <t>USD880281819/08/202026/08/2020ABSA BANK39.70071259423.64</t>
  </si>
  <si>
    <t>USD813364611/03/202018/09/2020MAURITIUS SUGAR SYNDICATE37.7-1000000</t>
  </si>
  <si>
    <t>USD857592726/06/202026/10/2020Absa Bank Seychelles (ABSC)18.4529-1600000</t>
  </si>
  <si>
    <t>USD857640326/06/202026/10/2020SBMH GROUP MAURITIUS LTD18.58291600000</t>
  </si>
  <si>
    <t>USD850532610/06/202010/11/2020MESH  AND STEEL TRADING LTD40.15150000</t>
  </si>
  <si>
    <t>MESH  AND STEEL TRADING LTD</t>
  </si>
  <si>
    <t>USD876129010/08/202018/09/2020KOLOS CEMENT LIMITED39.91400000</t>
  </si>
  <si>
    <t>USD849726208/06/202021/09/2020MRC WIRE PRODUCTS LTD40.280000</t>
  </si>
  <si>
    <t>USD848747404/06/202010/09/2020TIANLI SPINNING (MAURITIUS) CO LTD39.75-400000</t>
  </si>
  <si>
    <t>USD848749804/06/202012/10/2020TIANLI SPINNING (MAURITIUS) CO LTD39.7-400000</t>
  </si>
  <si>
    <t>USD848753204/06/202010/11/2020TIANLI SPINNING (MAURITIUS) CO LTD39.7-400000</t>
  </si>
  <si>
    <t>USD842985126/05/202025/08/2020GAMMA CONSTRUCTION LTD39.9975-272000</t>
  </si>
  <si>
    <t>USD843061926/05/202025/08/2020BANK OF MAURITIUS40.0999272000</t>
  </si>
  <si>
    <t>USD818083019/03/202015/10/2020MAURITIUS SUGAR SYNDICATE39.65-500000</t>
  </si>
  <si>
    <t>USD860153202/07/202030/09/2020H.VAULBERT DE CHANTILLY LTD(HVC LTD)40.38125000</t>
  </si>
  <si>
    <t>USD815245913/03/202009/12/2020ESQUEL (MAURITIUS) LTD38-500000</t>
  </si>
  <si>
    <t>USD850592610/06/202010/11/2020MESH  AND STEEL TRADING LTD40.15100000</t>
  </si>
  <si>
    <t>USD807905802/03/202007/10/2020AZUR FINANCIAL SERVICES LTD37.55500000</t>
  </si>
  <si>
    <t>USD807922602/03/202007/10/2020AZUR FINANCIAL SERVICES LTD37.55500000</t>
  </si>
  <si>
    <t>USD807221428/02/202006/10/2020AZUR FINANCIAL SERVICES LTD37.61500000</t>
  </si>
  <si>
    <t>USD806154527/02/202005/10/2020AZUR FINANCIAL SERVICES LTD37.73500000</t>
  </si>
  <si>
    <t>USD806203827/02/202030/09/2020AZUR FINANCIAL SERVICES LTD37.73500000</t>
  </si>
  <si>
    <t>USD805571526/02/202005/10/2020AZUR FINANCIAL SERVICES LTD37.77500000</t>
  </si>
  <si>
    <t>USD805397526/02/202005/10/2020AZUR FINANCIAL SERVICES LTD37.7751000000</t>
  </si>
  <si>
    <t>USD802661019/02/202006/11/2020ESQUEL (MAURITIUS) LTD37.5-500000</t>
  </si>
  <si>
    <t>USD802662819/02/202015/10/2020ESQUEL (MAURITIUS) LTD37.45-500000</t>
  </si>
  <si>
    <t>USD802187318/02/202006/10/2020ESQUEL (MAURITIUS) LTD37.35-500000</t>
  </si>
  <si>
    <t>USD801828517/02/202016/09/2020ESQUEL (MAURITIUS) LTD37.3-500000</t>
  </si>
  <si>
    <t>USD798720010/02/202015/01/2021ABSA BANK1.116961000000</t>
  </si>
  <si>
    <t>USD815244413/03/202003/12/2020ESQUEL (MAURITIUS) LTD38-500000</t>
  </si>
  <si>
    <t>USD873549404/08/202021/09/2020LAFARGE40.161100000</t>
  </si>
  <si>
    <t>USD874886506/08/202020/10/2020LAFARGE40.09860000</t>
  </si>
  <si>
    <t>USD874808706/08/202016/10/2020PANAGORA MARKETING CO LTD40.1613428.6</t>
  </si>
  <si>
    <t>USD873590504/08/202031/08/2020JOONAS AND CO LTD40.09300000</t>
  </si>
  <si>
    <t>USD874807006/08/202024/09/2020PANAGORA MARKETING CO LTD40.1315591.08</t>
  </si>
  <si>
    <t>USD860695003/07/202023/11/2020MRC WIRE PRODUCTS LTD40.3100000</t>
  </si>
  <si>
    <t>USD873711604/08/202004/09/2020PHARMACIE NOUVELLE LTD40.15276756.5</t>
  </si>
  <si>
    <t>USD874888906/08/202020/11/2020LAFARGE40.1860000</t>
  </si>
  <si>
    <t>USD875280507/08/202021/12/2020LAFARGE40.1755000</t>
  </si>
  <si>
    <t>USD873591004/08/202018/09/2020PANAGORA MARKETING CO LTD40.15193126.14</t>
  </si>
  <si>
    <t>USD872675131/07/202020/10/2020CFAO MOTORS MAURITIUS LTD40.05115938</t>
  </si>
  <si>
    <t>USD864616314/07/202016/10/2020ABSA BANK1.2532212532150</t>
  </si>
  <si>
    <t>USD881183020/08/202024/08/2020BARCLAYS BANK PLC LONDON17.324644617.7</t>
  </si>
  <si>
    <t>USD862232308/07/202021/09/2020MSJ LTD40.37100000</t>
  </si>
  <si>
    <t>USD873715004/08/202010/09/2020PHARMACIE NOUVELLE LTD40.1570363.96</t>
  </si>
  <si>
    <t>USD864380814/07/202010/12/2020TIANLI SPINNING (MAURITIUS) CO LTD39.85-400000</t>
  </si>
  <si>
    <t>USD876191110/08/202025/08/2020BARCLAYS BANK PLC LONDON6.97797-286616.47</t>
  </si>
  <si>
    <t>USD869704324/07/202029/01/2021NUMELEC LTD40.485000</t>
  </si>
  <si>
    <t>USD870813928/07/202004/09/2020MAURITIUS SUGAR SYNDICATE1.174587000</t>
  </si>
  <si>
    <t>ZAR881093620/08/202024/08/2020ABSA BANK17.197-17197000</t>
  </si>
  <si>
    <t>ZAR880910520/08/202024/08/2020BARCLAYS BANK PLC LONDON17.32242-440000</t>
  </si>
  <si>
    <t>ZAR881183020/08/202024/08/2020BARCLAYS BANK PLC LONDON17.32464-80000</t>
  </si>
  <si>
    <t>ZAR880856920/08/202024/08/2020IRELAND BLYTH LIMITED2.32163200</t>
  </si>
  <si>
    <t>ZAR881049020/08/202024/08/2020KOLOS CEMENT LIMITED2.345824.18</t>
  </si>
  <si>
    <t>ZAR881174720/08/202024/08/2020Mauritius IBD17.2758317275830</t>
  </si>
  <si>
    <t>ZAR811990509/03/202015/12/2020ABC MOTORS LTD2.241000000</t>
  </si>
  <si>
    <t>REAL AUTOMOBILE AGENCY LTD</t>
  </si>
  <si>
    <t>SOCIMED LTD</t>
  </si>
  <si>
    <t>H10042224</t>
  </si>
  <si>
    <t>SHIBANI FINANCE COMPANY LIMITED</t>
  </si>
  <si>
    <t>Header1</t>
  </si>
  <si>
    <t>AED881609121/08/202014/09/2020ABSA BANK3.673091000000</t>
  </si>
  <si>
    <t>AED881609021/08/202024/08/2020ABSA BANK3.6727-1000000</t>
  </si>
  <si>
    <t>CAD881502721/08/202024/08/2020BARCLAYS BANK PLC LONDON1.3192-40000</t>
  </si>
  <si>
    <t>CAD881502621/08/202024/08/2020BARCLAYS BANK PLC LONDON1.3193920000</t>
  </si>
  <si>
    <t>CHF881632921/08/202025/08/2020BARCLAYS BANK PLC LONDON0.91356-135000</t>
  </si>
  <si>
    <t>CHF881544121/08/202024/08/2020SOCIMED LTD44.15145747</t>
  </si>
  <si>
    <t>Georgy Geerdharry</t>
  </si>
  <si>
    <t>EUR881343921/08/202025/08/2020BARCLAYS BANK PLC LONDON1.18708100000</t>
  </si>
  <si>
    <t>EUR881330521/08/202025/08/2020SHIBANI FINANCE COMPANY LIMITED47.12-100000</t>
  </si>
  <si>
    <t>EUR881376121/08/202025/08/2020Mauritius IBD1.1845-2000000</t>
  </si>
  <si>
    <t>EUR881375321/08/202025/08/2020Mauritius IBD1.184192000000</t>
  </si>
  <si>
    <t>EUR881374321/08/202025/08/2020CITIBANK N.A. LONDON1.18452000000</t>
  </si>
  <si>
    <t>EUR881354821/08/202024/08/2020IRELAND BLYTH LIMITED1.1876400000</t>
  </si>
  <si>
    <t>EUR881370121/08/202025/08/2020Mauritius IBD1.18731000000</t>
  </si>
  <si>
    <t>EUR881357921/08/202025/08/2020ABSA BANK1.1873-1000000</t>
  </si>
  <si>
    <t>EUR881373521/08/202025/08/2020CITIBANK N.A. LONDON1.18419-2000000</t>
  </si>
  <si>
    <t>EUR881521021/08/202024/09/2020IRELAND BLYTH LIMITED47.05108530</t>
  </si>
  <si>
    <t>EUR881517221/08/202001/09/2020IRELAND BLYTH LIMITED47.015416268.72</t>
  </si>
  <si>
    <t>EUR881522621/08/202025/08/2020BARCLAYS BANK PLC LONDON1.17927-416000</t>
  </si>
  <si>
    <t>EUR881516321/08/202025/08/2020ABSA BANK1.17855-116000</t>
  </si>
  <si>
    <t>EUR881502521/08/202025/08/2020BARCLAYS BANK PLC LONDON1.1814860000</t>
  </si>
  <si>
    <t>EUR881382221/08/202025/08/2020BARCLAYS BANK PLC LONDON1.1844-322000</t>
  </si>
  <si>
    <t>EUR881608321/08/202028/08/2020ABSA BANK1.1778515000000</t>
  </si>
  <si>
    <t>EUR881407321/08/202025/08/2020CITIBANK N.A. LONDON1.181522000000</t>
  </si>
  <si>
    <t>EUR881631721/08/202025/08/2020BARCLAYS BANK PLC LONDON1.1760368000</t>
  </si>
  <si>
    <t>EUR881406821/08/202025/08/2020CITIBANK N.A. LONDON1.18352-2000000</t>
  </si>
  <si>
    <t>GBP881446521/08/202025/08/2020BARCLAYS BANK PLC LONDON1.3191898000</t>
  </si>
  <si>
    <t>GBP881332021/08/202025/08/2020BARCLAYS BANK PLC LONDON1.3235850000</t>
  </si>
  <si>
    <t>GBP881632321/08/202025/08/2020BARCLAYS BANK PLC LONDON1.3102913000</t>
  </si>
  <si>
    <t>GBP881330821/08/202025/08/2020SHIBANI FINANCE COMPANY LIMITED52.55-50000</t>
  </si>
  <si>
    <t>JPY881550321/08/202024/08/2020REAL AUTOMOBILE AGENCY LTD0.37752483000</t>
  </si>
  <si>
    <t>JPY881633921/08/202025/08/2020BARCLAYS BANK PLC LONDON105.821-2500000</t>
  </si>
  <si>
    <t>JPY881503221/08/202025/08/2020BARCLAYS BANK PLC LONDON105.598-620000</t>
  </si>
  <si>
    <t>SEK881634021/08/202025/08/2020BARCLAYS BANK PLC LONDON8.8074430000</t>
  </si>
  <si>
    <t>SGD881381421/08/202024/08/2020BARCLAYS BANK PLC LONDON1.36719-150000</t>
  </si>
  <si>
    <t>SGD881610321/08/202014/09/2020ABSA BANK1.3712150000</t>
  </si>
  <si>
    <t>SGD881610221/08/202024/08/2020ABSA BANK1.37058-150000</t>
  </si>
  <si>
    <t>SGD881340521/08/202024/08/2020SOCIMED LTD29.35141864.75</t>
  </si>
  <si>
    <t>USD881349121/08/202024/08/2020DUCRAY LENOIR LIMITED39.916920</t>
  </si>
  <si>
    <t>USD881447021/08/202025/08/2020BARCLAYS BANK PLC LONDON17.2729116094.57</t>
  </si>
  <si>
    <t>USD881502621/08/202024/08/2020BARCLAYS BANK PLC LONDON1.31939-15158.52</t>
  </si>
  <si>
    <t>USD881634021/08/202025/08/2020BARCLAYS BANK PLC LONDON8.80744-3406.21</t>
  </si>
  <si>
    <t>USD881633921/08/202025/08/2020BARCLAYS BANK PLC LONDON105.82123624.8</t>
  </si>
  <si>
    <t>USD881632921/08/202025/08/2020BARCLAYS BANK PLC LONDON0.91356147773.55</t>
  </si>
  <si>
    <t>USD881381421/08/202024/08/2020BARCLAYS BANK PLC LONDON1.36719109714</t>
  </si>
  <si>
    <t>USD881609021/08/202024/08/2020ABSA BANK3.6727272279.47</t>
  </si>
  <si>
    <t>USD881609121/08/202014/09/2020ABSA BANK3.67309-272250.12</t>
  </si>
  <si>
    <t>USD881382821/08/202024/08/2020JOONAS AND CO LTD39.7993711.93</t>
  </si>
  <si>
    <t>USD881610321/08/202014/09/2020ABSA BANK1.3712-109393.63</t>
  </si>
  <si>
    <t>USD881610221/08/202024/08/2020ABSA BANK1.37058109442.96</t>
  </si>
  <si>
    <t>USD881632321/08/202025/08/2020BARCLAYS BANK PLC LONDON1.31029-17033.77</t>
  </si>
  <si>
    <t>USD881526421/08/202015/09/2020IRELAND BLYTH LIMITED39.8402672.19</t>
  </si>
  <si>
    <t>USD881516321/08/202025/08/2020ABSA BANK1.17855136711.8</t>
  </si>
  <si>
    <t>USD881502521/08/202025/08/2020BARCLAYS BANK PLC LONDON1.18148-70888.8</t>
  </si>
  <si>
    <t>USD881446521/08/202025/08/2020BARCLAYS BANK PLC LONDON1.31918-129279.64</t>
  </si>
  <si>
    <t>USD881407321/08/202025/08/2020CITIBANK N.A. LONDON1.18152-2363040</t>
  </si>
  <si>
    <t>USD881406821/08/202025/08/2020CITIBANK N.A. LONDON1.183522367040</t>
  </si>
  <si>
    <t>USD881382221/08/202025/08/2020BARCLAYS BANK PLC LONDON1.1844381376.8</t>
  </si>
  <si>
    <t>USD881522521/08/202025/08/2020BARCLAYS BANK PLC LONDON17.262169268.83</t>
  </si>
  <si>
    <t>USD881522621/08/202025/08/2020BARCLAYS BANK PLC LONDON1.17927490576.32</t>
  </si>
  <si>
    <t>USD881608321/08/202028/08/2020ABSA BANK1.17785-17667735</t>
  </si>
  <si>
    <t>USD881376121/08/202025/08/2020Mauritius IBD1.18452369000</t>
  </si>
  <si>
    <t>USD881503221/08/202025/08/2020BARCLAYS BANK PLC LONDON105.5985871.32</t>
  </si>
  <si>
    <t>USD881375321/08/202025/08/2020Mauritius IBD1.18419-2368380</t>
  </si>
  <si>
    <t>USD881374321/08/202025/08/2020CITIBANK N.A. LONDON1.1845-2369000</t>
  </si>
  <si>
    <t>USD881373521/08/202025/08/2020CITIBANK N.A. LONDON1.184192368380</t>
  </si>
  <si>
    <t>USD881370121/08/202025/08/2020Mauritius IBD1.1873-1187300</t>
  </si>
  <si>
    <t>USD881528121/08/202028/09/2020IRELAND BLYTH LIMITED39.82137046.2</t>
  </si>
  <si>
    <t>USD881357921/08/202025/08/2020ABSA BANK1.18731187300</t>
  </si>
  <si>
    <t>USD881354821/08/202024/08/2020IRELAND BLYTH LIMITED1.1876-475040</t>
  </si>
  <si>
    <t>USD881343921/08/202025/08/2020BARCLAYS BANK PLC LONDON1.18708-118708</t>
  </si>
  <si>
    <t>USD881332021/08/202025/08/2020BARCLAYS BANK PLC LONDON1.32358-66179</t>
  </si>
  <si>
    <t>USD881543021/08/202025/08/2020MEADERS FEEDS LTD39.80591500000</t>
  </si>
  <si>
    <t>USD881502721/08/202024/08/2020BARCLAYS BANK PLC LONDON1.319230321.41</t>
  </si>
  <si>
    <t>USD881631721/08/202025/08/2020BARCLAYS BANK PLC LONDON1.17603-79970.04</t>
  </si>
  <si>
    <t>USD881524321/08/202008/09/2020IRELAND BLYTH LIMITED39.795154721.03</t>
  </si>
  <si>
    <t>ZAR881447021/08/202025/08/2020BARCLAYS BANK PLC LONDON17.27291-278000</t>
  </si>
  <si>
    <t>ZAR881522521/08/202025/08/2020BARCLAYS BANK PLC LONDON17.26216-160000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</si>
</sst>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1F497D"/>
      <name val="Calibri"/>
      <family val="2"/>
      <scheme val="minor"/>
    </font>
    <font>
      <sz val="9"/>
      <color theme="1"/>
      <name val="Calibri"/>
      <family val="2"/>
    </font>
    <font>
      <b/>
      <u/>
      <sz val="9"/>
      <color theme="1"/>
      <name val="Calibri"/>
      <family val="2"/>
    </font>
    <font>
      <sz val="9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11" applyNumberFormat="0" applyAlignment="0" applyProtection="0"/>
    <xf numFmtId="0" fontId="17" fillId="10" borderId="12" applyNumberFormat="0" applyAlignment="0" applyProtection="0"/>
    <xf numFmtId="0" fontId="18" fillId="10" borderId="11" applyNumberFormat="0" applyAlignment="0" applyProtection="0"/>
    <xf numFmtId="0" fontId="19" fillId="0" borderId="13" applyNumberFormat="0" applyFill="0" applyAlignment="0" applyProtection="0"/>
    <xf numFmtId="0" fontId="20" fillId="11" borderId="14" applyNumberFormat="0" applyAlignment="0" applyProtection="0"/>
    <xf numFmtId="0" fontId="21" fillId="0" borderId="0" applyNumberFormat="0" applyFill="0" applyBorder="0" applyAlignment="0" applyProtection="0"/>
    <xf numFmtId="0" fontId="1" fillId="12" borderId="15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4" fillId="36" borderId="0" applyNumberFormat="0" applyBorder="0" applyAlignment="0" applyProtection="0"/>
    <xf numFmtId="164" fontId="1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</cellStyleXfs>
  <cellXfs count="7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64" fontId="4" fillId="0" borderId="6" xfId="1" applyFont="1" applyBorder="1" applyAlignment="1">
      <alignment horizontal="right" vertical="center"/>
    </xf>
    <xf numFmtId="164" fontId="4" fillId="0" borderId="6" xfId="1" applyFont="1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Protection="1">
      <protection locked="0"/>
    </xf>
    <xf numFmtId="164" fontId="0" fillId="0" borderId="0" xfId="1" applyFont="1" applyProtection="1">
      <protection locked="0"/>
    </xf>
    <xf numFmtId="164" fontId="4" fillId="0" borderId="6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164" fontId="0" fillId="0" borderId="0" xfId="1" applyFont="1"/>
    <xf numFmtId="164" fontId="2" fillId="0" borderId="0" xfId="1" applyFont="1"/>
    <xf numFmtId="0" fontId="6" fillId="0" borderId="0" xfId="0" applyFont="1"/>
    <xf numFmtId="0" fontId="0" fillId="5" borderId="0" xfId="0" applyFill="1"/>
    <xf numFmtId="0" fontId="7" fillId="0" borderId="2" xfId="0" applyFont="1" applyFill="1" applyBorder="1" applyAlignment="1">
      <alignment horizontal="right" vertical="center" wrapText="1"/>
    </xf>
    <xf numFmtId="0" fontId="6" fillId="5" borderId="0" xfId="0" applyFont="1" applyFill="1"/>
    <xf numFmtId="164" fontId="0" fillId="5" borderId="0" xfId="1" applyFont="1" applyFill="1"/>
    <xf numFmtId="0" fontId="8" fillId="5" borderId="1" xfId="0" applyFont="1" applyFill="1" applyBorder="1" applyAlignment="1">
      <alignment horizontal="center" vertical="center"/>
    </xf>
    <xf numFmtId="22" fontId="0" fillId="0" borderId="0" xfId="0" applyNumberFormat="1"/>
    <xf numFmtId="14" fontId="0" fillId="0" borderId="0" xfId="0" applyNumberFormat="1"/>
    <xf numFmtId="0" fontId="25" fillId="0" borderId="17" xfId="0" applyFont="1" applyBorder="1"/>
    <xf numFmtId="0" fontId="23" fillId="0" borderId="17" xfId="0" applyFont="1" applyBorder="1"/>
    <xf numFmtId="164" fontId="23" fillId="0" borderId="17" xfId="1" applyFont="1" applyBorder="1"/>
    <xf numFmtId="0" fontId="0" fillId="0" borderId="17" xfId="0" applyBorder="1"/>
    <xf numFmtId="164" fontId="23" fillId="5" borderId="17" xfId="1" applyFont="1" applyFill="1" applyBorder="1"/>
    <xf numFmtId="0" fontId="26" fillId="0" borderId="0" xfId="0" applyFont="1" applyAlignment="1">
      <alignment vertical="center"/>
    </xf>
    <xf numFmtId="164" fontId="2" fillId="0" borderId="0" xfId="0" applyNumberFormat="1" applyFont="1"/>
    <xf numFmtId="0" fontId="27" fillId="0" borderId="7" xfId="0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14" fontId="2" fillId="0" borderId="0" xfId="0" applyNumberFormat="1" applyFont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6" xfId="1" applyFont="1" applyBorder="1" applyAlignment="1">
      <alignment horizontal="right" vertical="center"/>
    </xf>
    <xf numFmtId="164" fontId="30" fillId="0" borderId="6" xfId="1" applyFont="1" applyFill="1" applyBorder="1" applyAlignment="1">
      <alignment horizontal="right" vertical="center"/>
    </xf>
    <xf numFmtId="0" fontId="31" fillId="0" borderId="0" xfId="0" applyFont="1"/>
    <xf numFmtId="14" fontId="31" fillId="0" borderId="0" xfId="0" applyNumberFormat="1" applyFont="1"/>
    <xf numFmtId="164" fontId="32" fillId="0" borderId="0" xfId="1" applyFont="1"/>
    <xf numFmtId="164" fontId="31" fillId="0" borderId="0" xfId="1" applyFont="1"/>
    <xf numFmtId="164" fontId="31" fillId="0" borderId="0" xfId="0" applyNumberFormat="1" applyFont="1"/>
    <xf numFmtId="0" fontId="33" fillId="2" borderId="1" xfId="0" applyFont="1" applyFill="1" applyBorder="1" applyAlignment="1">
      <alignment horizontal="center" vertical="center"/>
    </xf>
    <xf numFmtId="0" fontId="2" fillId="37" borderId="0" xfId="0" applyFont="1" applyFill="1"/>
    <xf numFmtId="0" fontId="2" fillId="0" borderId="0" xfId="0" applyFont="1" applyFill="1"/>
    <xf numFmtId="0" fontId="2" fillId="0" borderId="0" xfId="0" applyFont="1" applyFill="1" applyBorder="1"/>
    <xf numFmtId="164" fontId="29" fillId="0" borderId="0" xfId="1" applyFont="1" applyBorder="1"/>
    <xf numFmtId="0" fontId="0" fillId="0" borderId="0" xfId="0"/>
    <xf numFmtId="0" fontId="31" fillId="0" borderId="0" xfId="0" applyFont="1"/>
    <xf numFmtId="14" fontId="0" fillId="0" borderId="0" xfId="0" applyNumberFormat="1"/>
    <xf numFmtId="0" fontId="0" fillId="0" borderId="0" xfId="0" applyNumberFormat="1"/>
    <xf numFmtId="164" fontId="33" fillId="2" borderId="1" xfId="1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36" fillId="0" borderId="2" xfId="0" applyFont="1" applyFill="1" applyBorder="1" applyAlignment="1">
      <alignment vertical="center" wrapText="1"/>
    </xf>
    <xf numFmtId="0" fontId="37" fillId="0" borderId="2" xfId="0" applyFont="1" applyFill="1" applyBorder="1" applyAlignment="1">
      <alignment vertical="center" wrapText="1"/>
    </xf>
    <xf numFmtId="0" fontId="37" fillId="0" borderId="2" xfId="0" applyFont="1" applyFill="1" applyBorder="1" applyAlignment="1">
      <alignment horizontal="right" vertical="center" wrapText="1"/>
    </xf>
    <xf numFmtId="15" fontId="37" fillId="0" borderId="2" xfId="0" applyNumberFormat="1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vertical="center" wrapText="1"/>
    </xf>
    <xf numFmtId="15" fontId="7" fillId="0" borderId="2" xfId="0" applyNumberFormat="1" applyFont="1" applyFill="1" applyBorder="1" applyAlignment="1">
      <alignment horizontal="right" vertical="center" wrapText="1"/>
    </xf>
    <xf numFmtId="43" fontId="2" fillId="0" borderId="0" xfId="0" applyNumberFormat="1" applyFont="1"/>
    <xf numFmtId="164" fontId="0" fillId="4" borderId="0" xfId="1" applyFont="1" applyFill="1"/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 applyFont="1"/>
    <xf numFmtId="0" fontId="38" fillId="0" borderId="2" xfId="0" applyFont="1" applyFill="1" applyBorder="1" applyAlignment="1">
      <alignment vertical="center" wrapText="1"/>
    </xf>
    <xf numFmtId="0" fontId="38" fillId="0" borderId="2" xfId="0" applyFont="1" applyFill="1" applyBorder="1" applyAlignment="1">
      <alignment horizontal="right" vertical="center" wrapText="1"/>
    </xf>
    <xf numFmtId="15" fontId="38" fillId="0" borderId="2" xfId="0" applyNumberFormat="1" applyFont="1" applyFill="1" applyBorder="1" applyAlignment="1">
      <alignment horizontal="right" vertical="center" wrapText="1"/>
    </xf>
  </cellXfs>
  <cellStyles count="5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/>
    <cellStyle name="Normal 3" xfId="45"/>
    <cellStyle name="Normal 3 2" xfId="47"/>
    <cellStyle name="Normal 4" xfId="46"/>
    <cellStyle name="Normal 4 2" xfId="48"/>
    <cellStyle name="Normal 5" xfId="49"/>
    <cellStyle name="Normal 5 2" xfId="51"/>
    <cellStyle name="Normal 6" xfId="50"/>
    <cellStyle name="Normal 6 2" xfId="52"/>
    <cellStyle name="Normal 7" xfId="5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 Kwong Wan Man Chung Robotics - RB-MU_Robot_PCG_01" refreshedDate="44067.666836574077" createdVersion="4" refreshedVersion="6" minRefreshableVersion="3" recordCount="325">
  <cacheSource type="worksheet">
    <worksheetSource ref="A1:M1048576" sheet="FA LIVE"/>
  </cacheSource>
  <cacheFields count="13">
    <cacheField name="IDKEY" numFmtId="0">
      <sharedItems containsBlank="1"/>
    </cacheField>
    <cacheField name="CUR" numFmtId="0">
      <sharedItems containsBlank="1" count="22">
        <s v="AED"/>
        <s v="AUD"/>
        <s v="CAD"/>
        <s v="CHF"/>
        <s v="CNH"/>
        <s v="EUR"/>
        <s v="GBP"/>
        <s v="HKD"/>
        <s v="JPY"/>
        <s v="SCR"/>
        <s v="SEK"/>
        <s v="SGD"/>
        <s v="USD"/>
        <s v="ZAR"/>
        <m/>
        <s v="KES" u="1"/>
        <s v="NOK" u="1"/>
        <s v="BWP" u="1"/>
        <s v="MZN" u="1"/>
        <s v="NZD" u="1"/>
        <s v="INR" u="1"/>
        <s v="DKK" u="1"/>
      </sharedItems>
    </cacheField>
    <cacheField name="SysID" numFmtId="0">
      <sharedItems containsString="0" containsBlank="1" containsNumber="1" containsInteger="1" minValue="5506303" maxValue="8816340"/>
    </cacheField>
    <cacheField name="Deal Date" numFmtId="0">
      <sharedItems containsNonDate="0" containsDate="1" containsString="0" containsBlank="1" minDate="2018-06-14T00:00:00" maxDate="2020-08-22T00:00:00"/>
    </cacheField>
    <cacheField name="Value Day" numFmtId="0">
      <sharedItems containsNonDate="0" containsDate="1" containsString="0" containsBlank="1" minDate="2020-08-24T00:00:00" maxDate="2023-06-13T00:00:00"/>
    </cacheField>
    <cacheField name="CounterParty" numFmtId="0">
      <sharedItems containsBlank="1"/>
    </cacheField>
    <cacheField name="Price" numFmtId="0">
      <sharedItems containsString="0" containsBlank="1" containsNumber="1" minValue="0.3775" maxValue="105.821"/>
    </cacheField>
    <cacheField name="Nominal" numFmtId="0">
      <sharedItems containsString="0" containsBlank="1" containsNumber="1" minValue="-29732640" maxValue="74577300.599999994"/>
    </cacheField>
    <cacheField name="Ageing1" numFmtId="0">
      <sharedItems containsString="0" containsBlank="1" containsNumber="1" containsInteger="1" minValue="0" maxValue="0"/>
    </cacheField>
    <cacheField name="Ageing2" numFmtId="0">
      <sharedItems containsBlank="1"/>
    </cacheField>
    <cacheField name="Customer" numFmtId="0">
      <sharedItems containsBlank="1"/>
    </cacheField>
    <cacheField name="Relationship Manager" numFmtId="0">
      <sharedItems containsBlank="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 Kwong Wan Man Chung Robotics - RB-MU_Robot_PCG_01" refreshedDate="44067.666839583333" createdVersion="4" refreshedVersion="6" minRefreshableVersion="3" recordCount="256">
  <cacheSource type="worksheet">
    <worksheetSource ref="A1:R1048576" sheet="fx deals outs reworked"/>
  </cacheSource>
  <cacheFields count="18">
    <cacheField name="Header1" numFmtId="0">
      <sharedItems containsString="0" containsBlank="1" containsNumber="1" containsInteger="1" minValue="5506303" maxValue="8816340"/>
    </cacheField>
    <cacheField name="Trade Type" numFmtId="0">
      <sharedItems containsBlank="1"/>
    </cacheField>
    <cacheField name="Deal Date" numFmtId="0">
      <sharedItems containsNonDate="0" containsDate="1" containsString="0" containsBlank="1" minDate="2018-06-14T08:51:59" maxDate="2020-08-21T12:12:09"/>
    </cacheField>
    <cacheField name="Value Date" numFmtId="0">
      <sharedItems containsNonDate="0" containsDate="1" containsString="0" containsBlank="1" minDate="2020-08-24T00:00:00" maxDate="2023-06-13T00:00:00"/>
    </cacheField>
    <cacheField name="Counterparty" numFmtId="0">
      <sharedItems containsBlank="1"/>
    </cacheField>
    <cacheField name="External Counterparty" numFmtId="0">
      <sharedItems containsBlank="1"/>
    </cacheField>
    <cacheField name="Direction" numFmtId="0">
      <sharedItems containsBlank="1"/>
    </cacheField>
    <cacheField name="CCY 1 Amount" numFmtId="0">
      <sharedItems containsString="0" containsBlank="1" containsNumber="1" minValue="-74577300.599999994" maxValue="10000000"/>
    </cacheField>
    <cacheField name="CCY 1" numFmtId="0">
      <sharedItems containsBlank="1" count="24">
        <s v="USD"/>
        <s v="EUR"/>
        <s v="JPY"/>
        <s v="ZAR"/>
        <s v="GBP"/>
        <s v="CHF"/>
        <s v="SGD"/>
        <s v="AUD"/>
        <m/>
        <s v="CNH" u="1"/>
        <s v="KES" u="1"/>
        <s v="CCY 1" u="1"/>
        <s v="CAD" u="1"/>
        <s v="SEK" u="1"/>
        <s v="NOK" u="1"/>
        <s v="SAR" u="1"/>
        <s v="SCR" u="1"/>
        <s v="AED" u="1"/>
        <s v="HKD" u="1"/>
        <s v="BWP" u="1"/>
        <s v="NZD" u="1"/>
        <s v="INR" u="1"/>
        <s v="DKK" u="1"/>
        <s v="KWD" u="1"/>
      </sharedItems>
    </cacheField>
    <cacheField name="CCY 2 Amount" numFmtId="0">
      <sharedItems containsString="0" containsBlank="1" containsNumber="1" minValue="-141285000" maxValue="93802835"/>
    </cacheField>
    <cacheField name="CCY 2" numFmtId="0">
      <sharedItems containsBlank="1" count="24">
        <s v="MUR"/>
        <s v="USD"/>
        <s v="SEK"/>
        <s v="JPY"/>
        <s v="CHF"/>
        <s v="ZAR"/>
        <s v="CAD"/>
        <s v="SGD"/>
        <s v="HKD"/>
        <s v="AED"/>
        <s v="CNH"/>
        <s v="SCR"/>
        <m/>
        <s v="KES" u="1"/>
        <s v="NOK" u="1"/>
        <s v="SAR" u="1"/>
        <s v="UGX" u="1"/>
        <s v="MZN" u="1"/>
        <s v="GBP" u="1"/>
        <s v="AUD" u="1"/>
        <s v="NZD" u="1"/>
        <s v="INR" u="1"/>
        <s v="CCY 2" u="1"/>
        <s v="DKK" u="1"/>
      </sharedItems>
    </cacheField>
    <cacheField name="Exchange Rate" numFmtId="0">
      <sharedItems containsString="0" containsBlank="1" containsNumber="1" minValue="0.3775" maxValue="105.821"/>
    </cacheField>
    <cacheField name="Book" numFmtId="0">
      <sharedItems containsBlank="1"/>
    </cacheField>
    <cacheField name="Dealer" numFmtId="0">
      <sharedItems containsBlank="1"/>
    </cacheField>
    <cacheField name="Status" numFmtId="0">
      <sharedItems containsBlank="1"/>
    </cacheField>
    <cacheField name="TPL" numFmtId="0">
      <sharedItems containsString="0" containsBlank="1" containsNumber="1" minValue="-2301117.80759267" maxValue="23411026.291684002"/>
    </cacheField>
    <cacheField name="Cash" numFmtId="0">
      <sharedItems containsString="0" containsBlank="1" containsNumber="1" containsInteger="1" minValue="0" maxValue="0"/>
    </cacheField>
    <cacheField name="Val" numFmtId="0">
      <sharedItems containsString="0" containsBlank="1" containsNumber="1" minValue="-2301117.80759267" maxValue="23411026.291684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a Kwong Wan Man Chung Robotics - RB-MU_Robot_PCG_01" refreshedDate="44067.666839930556" createdVersion="4" refreshedVersion="6" minRefreshableVersion="3" recordCount="37">
  <cacheSource type="worksheet">
    <worksheetSource ref="E3:F40" sheet="pivot FX DEALS OUT"/>
  </cacheSource>
  <cacheFields count="2">
    <cacheField name="Row Labels" numFmtId="0">
      <sharedItems containsBlank="1" count="31">
        <s v="AUD"/>
        <s v="EUR"/>
        <s v="GBP"/>
        <s v="JPY"/>
        <s v="SGD"/>
        <s v="USD"/>
        <s v="ZAR"/>
        <s v="(blank)"/>
        <s v="CHF"/>
        <s v="Grand Total"/>
        <m/>
        <s v="PIVOT BY CCY 2"/>
        <s v="Row Labels"/>
        <s v="HKD"/>
        <s v="CAD"/>
        <s v="CNH"/>
        <s v="SEK"/>
        <s v="SCR"/>
        <s v="MUR"/>
        <s v="AED"/>
        <s v="KES" u="1"/>
        <s v="CCY 1" u="1"/>
        <s v="NOK" u="1"/>
        <s v="SAR" u="1"/>
        <s v="UGX" u="1"/>
        <s v="BWP" u="1"/>
        <s v="MZN" u="1"/>
        <s v="NZD" u="1"/>
        <s v="INR" u="1"/>
        <s v="CCY 2" u="1"/>
        <s v="DKK" u="1"/>
      </sharedItems>
    </cacheField>
    <cacheField name="Sum of CCY 1 Amount" numFmtId="164">
      <sharedItems containsBlank="1" containsMixedTypes="1" containsNumber="1" minValue="-114145339.56" maxValue="433328656.06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5">
  <r>
    <s v="AED878996814/08/202024/08/2020ABSA BANK3.672791000000"/>
    <x v="0"/>
    <n v="8789968"/>
    <d v="2020-08-14T00:00:00"/>
    <d v="2020-08-24T00:00:00"/>
    <s v="ABSA BANK"/>
    <n v="3.67279"/>
    <n v="1000000"/>
    <n v="0"/>
    <s v="Less than 90 days"/>
    <s v=""/>
    <s v=""/>
    <s v=""/>
  </r>
  <r>
    <s v="AED881609121/08/202014/09/2020ABSA BANK3.673091000000"/>
    <x v="0"/>
    <n v="8816091"/>
    <d v="2020-08-21T00:00:00"/>
    <d v="2020-09-14T00:00:00"/>
    <s v="ABSA BANK"/>
    <n v="3.6730900000000002"/>
    <n v="1000000"/>
    <n v="0"/>
    <s v="Less than 90 days"/>
    <s v=""/>
    <s v=""/>
    <s v=""/>
  </r>
  <r>
    <s v="AED881609021/08/202024/08/2020ABSA BANK3.6727-1000000"/>
    <x v="0"/>
    <n v="8816090"/>
    <d v="2020-08-21T00:00:00"/>
    <d v="2020-08-24T00:00:00"/>
    <s v="ABSA BANK"/>
    <n v="3.6726999999999999"/>
    <n v="-1000000"/>
    <n v="0"/>
    <s v="Less than 90 days"/>
    <s v=""/>
    <s v=""/>
    <s v=""/>
  </r>
  <r>
    <s v="AUD881128620/08/202024/08/2020BARCLAYS BANK PLC LONDON0.71596-6000"/>
    <x v="1"/>
    <n v="8811286"/>
    <d v="2020-08-20T00:00:00"/>
    <d v="2020-08-24T00:00:00"/>
    <s v="BARCLAYS BANK PLC LONDON"/>
    <n v="0.71596000000000004"/>
    <n v="-6000"/>
    <n v="0"/>
    <s v="Less than 90 days"/>
    <s v=""/>
    <s v=""/>
    <s v=""/>
  </r>
  <r>
    <s v="AUD881111120/08/202024/08/2020BARCLAYS BANK PLC LONDON0.71608-2000"/>
    <x v="1"/>
    <n v="8811111"/>
    <d v="2020-08-20T00:00:00"/>
    <d v="2020-08-24T00:00:00"/>
    <s v="BARCLAYS BANK PLC LONDON"/>
    <n v="0.71608000000000005"/>
    <n v="-2000"/>
    <n v="0"/>
    <s v="Less than 90 days"/>
    <s v=""/>
    <s v=""/>
    <s v=""/>
  </r>
  <r>
    <s v="CAD881502721/08/202024/08/2020BARCLAYS BANK PLC LONDON1.3192-40000"/>
    <x v="2"/>
    <n v="8815027"/>
    <d v="2020-08-21T00:00:00"/>
    <d v="2020-08-24T00:00:00"/>
    <s v="BARCLAYS BANK PLC LONDON"/>
    <n v="1.3191999999999999"/>
    <n v="-40000"/>
    <n v="0"/>
    <s v="Less than 90 days"/>
    <s v=""/>
    <s v=""/>
    <s v=""/>
  </r>
  <r>
    <s v="CAD881502621/08/202024/08/2020BARCLAYS BANK PLC LONDON1.3193920000"/>
    <x v="2"/>
    <n v="8815026"/>
    <d v="2020-08-21T00:00:00"/>
    <d v="2020-08-24T00:00:00"/>
    <s v="BARCLAYS BANK PLC LONDON"/>
    <n v="1.3193900000000001"/>
    <n v="20000"/>
    <n v="0"/>
    <s v="Less than 90 days"/>
    <s v=""/>
    <s v=""/>
    <s v=""/>
  </r>
  <r>
    <s v="CHF881632921/08/202025/08/2020BARCLAYS BANK PLC LONDON0.91356-135000"/>
    <x v="3"/>
    <n v="8816329"/>
    <d v="2020-08-21T00:00:00"/>
    <d v="2020-08-25T00:00:00"/>
    <s v="BARCLAYS BANK PLC LONDON"/>
    <n v="0.91356000000000004"/>
    <n v="-135000"/>
    <n v="0"/>
    <s v="Less than 90 days"/>
    <s v=""/>
    <s v=""/>
    <s v=""/>
  </r>
  <r>
    <s v="CHF881544121/08/202024/08/2020SOCIMED LTD44.15145747"/>
    <x v="3"/>
    <n v="8815441"/>
    <d v="2020-08-21T00:00:00"/>
    <d v="2020-08-24T00:00:00"/>
    <s v="SOCIMED LTD"/>
    <n v="44.15"/>
    <n v="145747"/>
    <n v="0"/>
    <s v="Less than 90 days"/>
    <s v="SOCIMED LTD"/>
    <s v="Georgy Geerdharry"/>
    <s v=""/>
  </r>
  <r>
    <s v="CNH876191110/08/202025/08/2020BARCLAYS BANK PLC LONDON6.977972000000"/>
    <x v="4"/>
    <n v="8761911"/>
    <d v="2020-08-10T00:00:00"/>
    <d v="2020-08-25T00:00:00"/>
    <s v="BARCLAYS BANK PLC LONDON"/>
    <n v="6.97797"/>
    <n v="2000000"/>
    <n v="0"/>
    <s v="Less than 90 days"/>
    <s v=""/>
    <s v=""/>
    <s v=""/>
  </r>
  <r>
    <s v="EUR869705524/07/202029/01/2021NUMELEC LTD47.5610000"/>
    <x v="5"/>
    <n v="8697055"/>
    <d v="2020-07-24T00:00:00"/>
    <d v="2021-01-29T00:00:00"/>
    <s v="NUMELEC LTD"/>
    <n v="47.56"/>
    <n v="10000"/>
    <n v="0"/>
    <s v="Less than 90 days"/>
    <s v="NUMELEC LTD"/>
    <s v="Rodolphe Couronne"/>
    <s v=""/>
  </r>
  <r>
    <s v="EUR875560407/08/202007/12/2020MRC WIRE PRODUCTS LTD47.5530000"/>
    <x v="5"/>
    <n v="8755604"/>
    <d v="2020-08-07T00:00:00"/>
    <d v="2020-12-07T00:00:00"/>
    <s v="MRC WIRE PRODUCTS LTD"/>
    <n v="47.55"/>
    <n v="30000"/>
    <n v="0"/>
    <s v="Less than 90 days"/>
    <s v="MRC WIRE PRODUCTS LTD"/>
    <s v="Christine John Chuan"/>
    <s v=""/>
  </r>
  <r>
    <s v="EUR864260113/07/202020/11/2020MAURITIUS SUGAR SYNDICATE46-500000"/>
    <x v="5"/>
    <n v="8642601"/>
    <d v="2020-07-13T00:00:00"/>
    <d v="2020-11-20T00:00:00"/>
    <s v="MAURITIUS SUGAR SYNDICATE"/>
    <n v="46"/>
    <n v="-500000"/>
    <n v="0"/>
    <s v="Less than 90 days"/>
    <s v="MAURITIUS SUGAR SYNDICATE"/>
    <s v="C Yue Chi Ming"/>
    <s v=""/>
  </r>
  <r>
    <s v="EUR874810506/08/202020/10/2020PANAGORA MARKETING CO LTD47.95182"/>
    <x v="5"/>
    <n v="8748105"/>
    <d v="2020-08-06T00:00:00"/>
    <d v="2020-10-20T00:00:00"/>
    <s v="PANAGORA MARKETING CO LTD"/>
    <n v="47.9"/>
    <n v="5182"/>
    <n v="0"/>
    <s v="Less than 90 days"/>
    <s v="PANAGORA MARKETING CO LTD"/>
    <s v="Kavita Ramruttun"/>
    <s v=""/>
  </r>
  <r>
    <s v="EUR868411222/07/202029/10/2020MAURITIUS SUGAR SYNDICATE46.75-500000"/>
    <x v="5"/>
    <n v="8684112"/>
    <d v="2020-07-22T00:00:00"/>
    <d v="2020-10-29T00:00:00"/>
    <s v="MAURITIUS SUGAR SYNDICATE"/>
    <n v="46.75"/>
    <n v="-500000"/>
    <n v="0"/>
    <s v="Less than 90 days"/>
    <s v="MAURITIUS SUGAR SYNDICATE"/>
    <s v="C Yue Chi Ming"/>
    <s v=""/>
  </r>
  <r>
    <s v="EUR881343921/08/202025/08/2020BARCLAYS BANK PLC LONDON1.18708100000"/>
    <x v="5"/>
    <n v="8813439"/>
    <d v="2020-08-21T00:00:00"/>
    <d v="2020-08-25T00:00:00"/>
    <s v="BARCLAYS BANK PLC LONDON"/>
    <n v="1.1870799999999999"/>
    <n v="100000"/>
    <n v="0"/>
    <s v="Less than 90 days"/>
    <s v=""/>
    <s v=""/>
    <s v=""/>
  </r>
  <r>
    <s v="EUR870252127/07/202010/12/2020MAURITIUS SUGAR SYNDICATE47.6-500000"/>
    <x v="5"/>
    <n v="8702521"/>
    <d v="2020-07-27T00:00:00"/>
    <d v="2020-12-10T00:00:00"/>
    <s v="MAURITIUS SUGAR SYNDICATE"/>
    <n v="47.6"/>
    <n v="-500000"/>
    <n v="0"/>
    <s v="Less than 90 days"/>
    <s v="MAURITIUS SUGAR SYNDICATE"/>
    <s v="C Yue Chi Ming"/>
    <s v=""/>
  </r>
  <r>
    <s v="EUR881330521/08/202025/08/2020SHIBANI FINANCE COMPANY LIMITED47.12-100000"/>
    <x v="5"/>
    <n v="8813305"/>
    <d v="2020-08-21T00:00:00"/>
    <d v="2020-08-25T00:00:00"/>
    <s v="SHIBANI FINANCE COMPANY LIMITED"/>
    <n v="47.12"/>
    <n v="-100000"/>
    <n v="0"/>
    <s v="Less than 90 days"/>
    <s v="SHIBANI FINANCE COMPANY LIMITED"/>
    <s v="Georgy Geerdharry"/>
    <s v=""/>
  </r>
  <r>
    <s v="EUR872694031/07/202015/09/2020MSJ LTD47.9108619"/>
    <x v="5"/>
    <n v="8726940"/>
    <d v="2020-07-31T00:00:00"/>
    <d v="2020-09-15T00:00:00"/>
    <s v="MSJ LTD"/>
    <n v="47.9"/>
    <n v="108619"/>
    <n v="0"/>
    <s v="Less than 90 days"/>
    <s v="MSJ LTD"/>
    <s v="Kavita Ramruttun"/>
    <s v=""/>
  </r>
  <r>
    <s v="EUR869654624/07/202015/10/2020MRC WIRE PRODUCTS LTD47.485000"/>
    <x v="5"/>
    <n v="8696546"/>
    <d v="2020-07-24T00:00:00"/>
    <d v="2020-10-15T00:00:00"/>
    <s v="MRC WIRE PRODUCTS LTD"/>
    <n v="47.4"/>
    <n v="85000"/>
    <n v="0"/>
    <s v="Less than 90 days"/>
    <s v="MRC WIRE PRODUCTS LTD"/>
    <s v="Christine John Chuan"/>
    <s v=""/>
  </r>
  <r>
    <s v="EUR869624124/07/202026/10/2020CFAO MOTORS MAURITIUS LTD47.5500000"/>
    <x v="5"/>
    <n v="8696241"/>
    <d v="2020-07-24T00:00:00"/>
    <d v="2020-10-26T00:00:00"/>
    <s v="CFAO MOTORS MAURITIUS LTD"/>
    <n v="47.5"/>
    <n v="500000"/>
    <n v="0"/>
    <s v="Less than 90 days"/>
    <s v=""/>
    <s v=""/>
    <s v=""/>
  </r>
  <r>
    <s v="EUR872090030/07/202015/12/2020MAURITIUS SUGAR SYNDICATE47.6-500000"/>
    <x v="5"/>
    <n v="8720900"/>
    <d v="2020-07-30T00:00:00"/>
    <d v="2020-12-15T00:00:00"/>
    <s v="MAURITIUS SUGAR SYNDICATE"/>
    <n v="47.6"/>
    <n v="-500000"/>
    <n v="0"/>
    <s v="Less than 90 days"/>
    <s v="MAURITIUS SUGAR SYNDICATE"/>
    <s v="C Yue Chi Ming"/>
    <s v=""/>
  </r>
  <r>
    <s v="EUR870813928/07/202004/09/2020MAURITIUS SUGAR SYNDICATE1.174-500000"/>
    <x v="5"/>
    <n v="8708139"/>
    <d v="2020-07-28T00:00:00"/>
    <d v="2020-09-04T00:00:00"/>
    <s v="MAURITIUS SUGAR SYNDICATE"/>
    <n v="1.1739999999999999"/>
    <n v="-500000"/>
    <n v="0"/>
    <s v="Less than 90 days"/>
    <s v="MAURITIUS SUGAR SYNDICATE"/>
    <s v="C Yue Chi Ming"/>
    <s v=""/>
  </r>
  <r>
    <s v="EUR874020005/08/202010/09/2020CFAO MOTORS MAURITIUS LTD47.39191579.43"/>
    <x v="5"/>
    <n v="8740200"/>
    <d v="2020-08-05T00:00:00"/>
    <d v="2020-09-10T00:00:00"/>
    <s v="CFAO MOTORS MAURITIUS LTD"/>
    <n v="47.39"/>
    <n v="191579.43"/>
    <n v="0"/>
    <s v="Less than 90 days"/>
    <s v=""/>
    <s v=""/>
    <s v=""/>
  </r>
  <r>
    <s v="EUR550722914/06/201811/04/2022BH PROPERTY INVESTMENTS LTD44.9522246.94"/>
    <x v="5"/>
    <n v="5507229"/>
    <d v="2018-06-14T00:00:00"/>
    <d v="2022-04-11T00:00:00"/>
    <s v="BH PROPERTY INVESTMENTS LTD"/>
    <n v="44.95"/>
    <n v="22246.94"/>
    <n v="0"/>
    <s v="Less than 90 days"/>
    <s v=""/>
    <s v=""/>
    <s v=""/>
  </r>
  <r>
    <s v="EUR881376121/08/202025/08/2020Mauritius IBD1.1845-2000000"/>
    <x v="5"/>
    <n v="8813761"/>
    <d v="2020-08-21T00:00:00"/>
    <d v="2020-08-25T00:00:00"/>
    <s v="Mauritius IBD"/>
    <n v="1.1845000000000001"/>
    <n v="-2000000"/>
    <n v="0"/>
    <s v="Less than 90 days"/>
    <s v=""/>
    <s v=""/>
    <s v=""/>
  </r>
  <r>
    <s v="EUR881375321/08/202025/08/2020Mauritius IBD1.184192000000"/>
    <x v="5"/>
    <n v="8813753"/>
    <d v="2020-08-21T00:00:00"/>
    <d v="2020-08-25T00:00:00"/>
    <s v="Mauritius IBD"/>
    <n v="1.1841900000000001"/>
    <n v="2000000"/>
    <n v="0"/>
    <s v="Less than 90 days"/>
    <s v=""/>
    <s v=""/>
    <s v=""/>
  </r>
  <r>
    <s v="EUR881374321/08/202025/08/2020CITIBANK N.A. LONDON1.18452000000"/>
    <x v="5"/>
    <n v="8813743"/>
    <d v="2020-08-21T00:00:00"/>
    <d v="2020-08-25T00:00:00"/>
    <s v="CITIBANK N.A. LONDON"/>
    <n v="1.1845000000000001"/>
    <n v="2000000"/>
    <n v="0"/>
    <s v="Less than 90 days"/>
    <s v=""/>
    <s v=""/>
    <s v=""/>
  </r>
  <r>
    <s v="EUR881354821/08/202024/08/2020IRELAND BLYTH LIMITED1.1876400000"/>
    <x v="5"/>
    <n v="8813548"/>
    <d v="2020-08-21T00:00:00"/>
    <d v="2020-08-24T00:00:00"/>
    <s v="IRELAND BLYTH LIMITED"/>
    <n v="1.1876"/>
    <n v="400000"/>
    <n v="0"/>
    <s v="Less than 90 days"/>
    <s v="IRELAND BLYTH LIMITED"/>
    <s v="Kavita Ramruttun"/>
    <s v=""/>
  </r>
  <r>
    <s v="EUR881370121/08/202025/08/2020Mauritius IBD1.18731000000"/>
    <x v="5"/>
    <n v="8813701"/>
    <d v="2020-08-21T00:00:00"/>
    <d v="2020-08-25T00:00:00"/>
    <s v="Mauritius IBD"/>
    <n v="1.1873"/>
    <n v="1000000"/>
    <n v="0"/>
    <s v="Less than 90 days"/>
    <s v=""/>
    <s v=""/>
    <s v=""/>
  </r>
  <r>
    <s v="EUR881357921/08/202025/08/2020ABSA BANK1.1873-1000000"/>
    <x v="5"/>
    <n v="8813579"/>
    <d v="2020-08-21T00:00:00"/>
    <d v="2020-08-25T00:00:00"/>
    <s v="ABSA BANK"/>
    <n v="1.1873"/>
    <n v="-1000000"/>
    <n v="0"/>
    <s v="Less than 90 days"/>
    <s v=""/>
    <s v=""/>
    <s v=""/>
  </r>
  <r>
    <s v="EUR881373521/08/202025/08/2020CITIBANK N.A. LONDON1.18419-2000000"/>
    <x v="5"/>
    <n v="8813735"/>
    <d v="2020-08-21T00:00:00"/>
    <d v="2020-08-25T00:00:00"/>
    <s v="CITIBANK N.A. LONDON"/>
    <n v="1.1841900000000001"/>
    <n v="-2000000"/>
    <n v="0"/>
    <s v="Less than 90 days"/>
    <s v=""/>
    <s v=""/>
    <s v=""/>
  </r>
  <r>
    <s v="EUR550650914/06/201812/04/2021BH PROPERTY INVESTMENTS LTD44.9522246.94"/>
    <x v="5"/>
    <n v="5506509"/>
    <d v="2018-06-14T00:00:00"/>
    <d v="2021-04-12T00:00:00"/>
    <s v="BH PROPERTY INVESTMENTS LTD"/>
    <n v="44.95"/>
    <n v="22246.94"/>
    <n v="0"/>
    <s v="Less than 90 days"/>
    <s v=""/>
    <s v=""/>
    <s v=""/>
  </r>
  <r>
    <s v="EUR860146502/07/202031/08/2020H.VAULBERT DE CHANTILLY LTD(HVC LTD)45.5875000"/>
    <x v="5"/>
    <n v="8601465"/>
    <d v="2020-07-02T00:00:00"/>
    <d v="2020-08-31T00:00:00"/>
    <s v="H.VAULBERT DE CHANTILLY LTD(HVC LTD)"/>
    <n v="45.58"/>
    <n v="75000"/>
    <n v="0"/>
    <s v="Less than 90 days"/>
    <s v=""/>
    <s v=""/>
    <s v=""/>
  </r>
  <r>
    <s v="EUR550726614/06/201810/06/2022BH PROPERTY INVESTMENTS LTD44.9522246.94"/>
    <x v="5"/>
    <n v="5507266"/>
    <d v="2018-06-14T00:00:00"/>
    <d v="2022-06-10T00:00:00"/>
    <s v="BH PROPERTY INVESTMENTS LTD"/>
    <n v="44.95"/>
    <n v="22246.94"/>
    <n v="0"/>
    <s v="Less than 90 days"/>
    <s v=""/>
    <s v=""/>
    <s v=""/>
  </r>
  <r>
    <s v="EUR550724514/06/201810/05/2022BH PROPERTY INVESTMENTS LTD44.9522246.94"/>
    <x v="5"/>
    <n v="5507245"/>
    <d v="2018-06-14T00:00:00"/>
    <d v="2022-05-10T00:00:00"/>
    <s v="BH PROPERTY INVESTMENTS LTD"/>
    <n v="44.95"/>
    <n v="22246.94"/>
    <n v="0"/>
    <s v="Less than 90 days"/>
    <s v=""/>
    <s v=""/>
    <s v=""/>
  </r>
  <r>
    <s v="EUR551010015/06/201810/06/2021BH PROPERTY INVESTMENTS LTD44.9522246.94"/>
    <x v="5"/>
    <n v="5510100"/>
    <d v="2018-06-15T00:00:00"/>
    <d v="2021-06-10T00:00:00"/>
    <s v="BH PROPERTY INVESTMENTS LTD"/>
    <n v="44.95"/>
    <n v="22246.94"/>
    <n v="0"/>
    <s v="Less than 90 days"/>
    <s v=""/>
    <s v=""/>
    <s v=""/>
  </r>
  <r>
    <s v="EUR550630314/06/201810/09/2020BH PROPERTY INVESTMENTS LTD44.9522246.94"/>
    <x v="5"/>
    <n v="5506303"/>
    <d v="2018-06-14T00:00:00"/>
    <d v="2020-09-10T00:00:00"/>
    <s v="BH PROPERTY INVESTMENTS LTD"/>
    <n v="44.95"/>
    <n v="22246.94"/>
    <n v="0"/>
    <s v="Less than 90 days"/>
    <s v=""/>
    <s v=""/>
    <s v=""/>
  </r>
  <r>
    <s v="EUR550630914/06/201813/10/2020BH PROPERTY INVESTMENTS LTD44.9522246.94"/>
    <x v="5"/>
    <n v="5506309"/>
    <d v="2018-06-14T00:00:00"/>
    <d v="2020-10-13T00:00:00"/>
    <s v="BH PROPERTY INVESTMENTS LTD"/>
    <n v="44.95"/>
    <n v="22246.94"/>
    <n v="0"/>
    <s v="Less than 90 days"/>
    <s v=""/>
    <s v=""/>
    <s v=""/>
  </r>
  <r>
    <s v="EUR550631814/06/201810/11/2020BH PROPERTY INVESTMENTS LTD44.9522246.94"/>
    <x v="5"/>
    <n v="5506318"/>
    <d v="2018-06-14T00:00:00"/>
    <d v="2020-11-10T00:00:00"/>
    <s v="BH PROPERTY INVESTMENTS LTD"/>
    <n v="44.95"/>
    <n v="22246.94"/>
    <n v="0"/>
    <s v="Less than 90 days"/>
    <s v=""/>
    <s v=""/>
    <s v=""/>
  </r>
  <r>
    <s v="EUR550632214/06/201810/12/2020BH PROPERTY INVESTMENTS LTD44.9522246.94"/>
    <x v="5"/>
    <n v="5506322"/>
    <d v="2018-06-14T00:00:00"/>
    <d v="2020-12-10T00:00:00"/>
    <s v="BH PROPERTY INVESTMENTS LTD"/>
    <n v="44.95"/>
    <n v="22246.94"/>
    <n v="0"/>
    <s v="Less than 90 days"/>
    <s v=""/>
    <s v=""/>
    <s v=""/>
  </r>
  <r>
    <s v="EUR550646614/06/201811/01/2021BH PROPERTY INVESTMENTS LTD44.9522246.94"/>
    <x v="5"/>
    <n v="5506466"/>
    <d v="2018-06-14T00:00:00"/>
    <d v="2021-01-11T00:00:00"/>
    <s v="BH PROPERTY INVESTMENTS LTD"/>
    <n v="44.95"/>
    <n v="22246.94"/>
    <n v="0"/>
    <s v="Less than 90 days"/>
    <s v=""/>
    <s v=""/>
    <s v=""/>
  </r>
  <r>
    <s v="EUR550728914/06/201811/08/2022BH PROPERTY INVESTMENTS LTD44.9522246.94"/>
    <x v="5"/>
    <n v="5507289"/>
    <d v="2018-06-14T00:00:00"/>
    <d v="2022-08-11T00:00:00"/>
    <s v="BH PROPERTY INVESTMENTS LTD"/>
    <n v="44.95"/>
    <n v="22246.94"/>
    <n v="0"/>
    <s v="Less than 90 days"/>
    <s v=""/>
    <s v=""/>
    <s v=""/>
  </r>
  <r>
    <s v="EUR550650214/06/201810/03/2021BH PROPERTY INVESTMENTS LTD44.9522246.94"/>
    <x v="5"/>
    <n v="5506502"/>
    <d v="2018-06-14T00:00:00"/>
    <d v="2021-03-10T00:00:00"/>
    <s v="BH PROPERTY INVESTMENTS LTD"/>
    <n v="44.95"/>
    <n v="22246.94"/>
    <n v="0"/>
    <s v="Less than 90 days"/>
    <s v=""/>
    <s v=""/>
    <s v=""/>
  </r>
  <r>
    <s v="EUR550731614/06/201812/09/2022BH PROPERTY INVESTMENTS LTD44.9522246.94"/>
    <x v="5"/>
    <n v="5507316"/>
    <d v="2018-06-14T00:00:00"/>
    <d v="2022-09-12T00:00:00"/>
    <s v="BH PROPERTY INVESTMENTS LTD"/>
    <n v="44.95"/>
    <n v="22246.94"/>
    <n v="0"/>
    <s v="Less than 90 days"/>
    <s v=""/>
    <s v=""/>
    <s v=""/>
  </r>
  <r>
    <s v="EUR550652514/06/201810/05/2021BH PROPERTY INVESTMENTS LTD44.9522246.94"/>
    <x v="5"/>
    <n v="5506525"/>
    <d v="2018-06-14T00:00:00"/>
    <d v="2021-05-10T00:00:00"/>
    <s v="BH PROPERTY INVESTMENTS LTD"/>
    <n v="44.95"/>
    <n v="22246.94"/>
    <n v="0"/>
    <s v="Less than 90 days"/>
    <s v=""/>
    <s v=""/>
    <s v=""/>
  </r>
  <r>
    <s v="EUR550661014/06/201812/07/2021BH PROPERTY INVESTMENTS LTD44.9522246.94"/>
    <x v="5"/>
    <n v="5506610"/>
    <d v="2018-06-14T00:00:00"/>
    <d v="2021-07-12T00:00:00"/>
    <s v="BH PROPERTY INVESTMENTS LTD"/>
    <n v="44.95"/>
    <n v="22246.94"/>
    <n v="0"/>
    <s v="Less than 90 days"/>
    <s v=""/>
    <s v=""/>
    <s v=""/>
  </r>
  <r>
    <s v="EUR550662214/06/201810/08/2021BH PROPERTY INVESTMENTS LTD44.9522246.94"/>
    <x v="5"/>
    <n v="5506622"/>
    <d v="2018-06-14T00:00:00"/>
    <d v="2021-08-10T00:00:00"/>
    <s v="BH PROPERTY INVESTMENTS LTD"/>
    <n v="44.95"/>
    <n v="22246.94"/>
    <n v="0"/>
    <s v="Less than 90 days"/>
    <s v=""/>
    <s v=""/>
    <s v=""/>
  </r>
  <r>
    <s v="EUR550685414/06/201810/09/2021BH PROPERTY INVESTMENTS LTD44.9522246.94"/>
    <x v="5"/>
    <n v="5506854"/>
    <d v="2018-06-14T00:00:00"/>
    <d v="2021-09-10T00:00:00"/>
    <s v="BH PROPERTY INVESTMENTS LTD"/>
    <n v="44.95"/>
    <n v="22246.94"/>
    <n v="0"/>
    <s v="Less than 90 days"/>
    <s v=""/>
    <s v=""/>
    <s v=""/>
  </r>
  <r>
    <s v="EUR550689714/06/201812/10/2021BH PROPERTY INVESTMENTS LTD44.9522246.94"/>
    <x v="5"/>
    <n v="5506897"/>
    <d v="2018-06-14T00:00:00"/>
    <d v="2021-10-12T00:00:00"/>
    <s v="BH PROPERTY INVESTMENTS LTD"/>
    <n v="44.95"/>
    <n v="22246.94"/>
    <n v="0"/>
    <s v="Less than 90 days"/>
    <s v=""/>
    <s v=""/>
    <s v=""/>
  </r>
  <r>
    <s v="EUR550692314/06/201810/11/2021BH PROPERTY INVESTMENTS LTD44.9522246.94"/>
    <x v="5"/>
    <n v="5506923"/>
    <d v="2018-06-14T00:00:00"/>
    <d v="2021-11-10T00:00:00"/>
    <s v="BH PROPERTY INVESTMENTS LTD"/>
    <n v="44.95"/>
    <n v="22246.94"/>
    <n v="0"/>
    <s v="Less than 90 days"/>
    <s v=""/>
    <s v=""/>
    <s v=""/>
  </r>
  <r>
    <s v="EUR550693914/06/201810/12/2021BH PROPERTY INVESTMENTS LTD44.9522246.94"/>
    <x v="5"/>
    <n v="5506939"/>
    <d v="2018-06-14T00:00:00"/>
    <d v="2021-12-10T00:00:00"/>
    <s v="BH PROPERTY INVESTMENTS LTD"/>
    <n v="44.95"/>
    <n v="22246.94"/>
    <n v="0"/>
    <s v="Less than 90 days"/>
    <s v=""/>
    <s v=""/>
    <s v=""/>
  </r>
  <r>
    <s v="EUR550695814/06/201810/01/2022BH PROPERTY INVESTMENTS LTD44.9522246.94"/>
    <x v="5"/>
    <n v="5506958"/>
    <d v="2018-06-14T00:00:00"/>
    <d v="2022-01-10T00:00:00"/>
    <s v="BH PROPERTY INVESTMENTS LTD"/>
    <n v="44.95"/>
    <n v="22246.94"/>
    <n v="0"/>
    <s v="Less than 90 days"/>
    <s v=""/>
    <s v=""/>
    <s v=""/>
  </r>
  <r>
    <s v="EUR550718314/06/201810/02/2022BH PROPERTY INVESTMENTS LTD44.9522246.94"/>
    <x v="5"/>
    <n v="5507183"/>
    <d v="2018-06-14T00:00:00"/>
    <d v="2022-02-10T00:00:00"/>
    <s v="BH PROPERTY INVESTMENTS LTD"/>
    <n v="44.95"/>
    <n v="22246.94"/>
    <n v="0"/>
    <s v="Less than 90 days"/>
    <s v=""/>
    <s v=""/>
    <s v=""/>
  </r>
  <r>
    <s v="EUR550720714/06/201810/03/2022BH PROPERTY INVESTMENTS LTD44.9522246.94"/>
    <x v="5"/>
    <n v="5507207"/>
    <d v="2018-06-14T00:00:00"/>
    <d v="2022-03-10T00:00:00"/>
    <s v="BH PROPERTY INVESTMENTS LTD"/>
    <n v="44.95"/>
    <n v="22246.94"/>
    <n v="0"/>
    <s v="Less than 90 days"/>
    <s v=""/>
    <s v=""/>
    <s v=""/>
  </r>
  <r>
    <s v="EUR550649114/06/201810/02/2021BH PROPERTY INVESTMENTS LTD44.9522246.94"/>
    <x v="5"/>
    <n v="5506491"/>
    <d v="2018-06-14T00:00:00"/>
    <d v="2021-02-10T00:00:00"/>
    <s v="BH PROPERTY INVESTMENTS LTD"/>
    <n v="44.95"/>
    <n v="22246.94"/>
    <n v="0"/>
    <s v="Less than 90 days"/>
    <s v=""/>
    <s v=""/>
    <s v=""/>
  </r>
  <r>
    <s v="EUR803448420/02/202030/09/2020ABSA BANK41.36-730000"/>
    <x v="5"/>
    <n v="8034484"/>
    <d v="2020-02-20T00:00:00"/>
    <d v="2020-09-30T00:00:00"/>
    <s v="ABSA BANK"/>
    <n v="41.36"/>
    <n v="-730000"/>
    <n v="0"/>
    <s v="Less than 90 days"/>
    <s v=""/>
    <s v=""/>
    <s v=""/>
  </r>
  <r>
    <s v="EUR860147702/07/202030/09/2020H.VAULBERT DE CHANTILLY LTD(HVC LTD)45.62180000"/>
    <x v="5"/>
    <n v="8601477"/>
    <d v="2020-07-02T00:00:00"/>
    <d v="2020-09-30T00:00:00"/>
    <s v="H.VAULBERT DE CHANTILLY LTD(HVC LTD)"/>
    <n v="45.62"/>
    <n v="180000"/>
    <n v="0"/>
    <s v="Less than 90 days"/>
    <s v=""/>
    <s v=""/>
    <s v=""/>
  </r>
  <r>
    <s v="EUR856226623/06/202027/10/2020TERRA FINANCE LTD45.361250000"/>
    <x v="5"/>
    <n v="8562266"/>
    <d v="2020-06-23T00:00:00"/>
    <d v="2020-10-27T00:00:00"/>
    <s v="TERRA FINANCE LTD"/>
    <n v="45.36"/>
    <n v="1250000"/>
    <n v="0"/>
    <s v="Less than 90 days"/>
    <s v=""/>
    <s v=""/>
    <s v=""/>
  </r>
  <r>
    <s v="EUR818137719/03/202015/10/2020MAURITIUS SUGAR SYNDICATE43.25-500000"/>
    <x v="5"/>
    <n v="8181377"/>
    <d v="2020-03-19T00:00:00"/>
    <d v="2020-10-15T00:00:00"/>
    <s v="MAURITIUS SUGAR SYNDICATE"/>
    <n v="43.25"/>
    <n v="-500000"/>
    <n v="0"/>
    <s v="Less than 90 days"/>
    <s v="MAURITIUS SUGAR SYNDICATE"/>
    <s v="C Yue Chi Ming"/>
    <s v=""/>
  </r>
  <r>
    <s v="EUR815976016/03/202015/10/2020MAURITIUS SUGAR SYNDICATE43.4-1000000"/>
    <x v="5"/>
    <n v="8159760"/>
    <d v="2020-03-16T00:00:00"/>
    <d v="2020-10-15T00:00:00"/>
    <s v="MAURITIUS SUGAR SYNDICATE"/>
    <n v="43.4"/>
    <n v="-1000000"/>
    <n v="0"/>
    <s v="Less than 90 days"/>
    <s v="MAURITIUS SUGAR SYNDICATE"/>
    <s v="C Yue Chi Ming"/>
    <s v=""/>
  </r>
  <r>
    <s v="EUR813363111/03/202015/10/2020MAURITIUS SUGAR SYNDICATE43.2-1000000"/>
    <x v="5"/>
    <n v="8133631"/>
    <d v="2020-03-11T00:00:00"/>
    <d v="2020-10-15T00:00:00"/>
    <s v="MAURITIUS SUGAR SYNDICATE"/>
    <n v="43.2"/>
    <n v="-1000000"/>
    <n v="0"/>
    <s v="Less than 90 days"/>
    <s v="MAURITIUS SUGAR SYNDICATE"/>
    <s v="C Yue Chi Ming"/>
    <s v=""/>
  </r>
  <r>
    <s v="EUR813121810/03/202030/09/2020MAURITIUS SUGAR SYNDICATE43.1-1000000"/>
    <x v="5"/>
    <n v="8131218"/>
    <d v="2020-03-10T00:00:00"/>
    <d v="2020-09-30T00:00:00"/>
    <s v="MAURITIUS SUGAR SYNDICATE"/>
    <n v="43.1"/>
    <n v="-1000000"/>
    <n v="0"/>
    <s v="Less than 90 days"/>
    <s v="MAURITIUS SUGAR SYNDICATE"/>
    <s v="C Yue Chi Ming"/>
    <s v=""/>
  </r>
  <r>
    <s v="EUR811499206/03/202030/09/2020MAURITIUS SUGAR SYNDICATE42.15-1000000"/>
    <x v="5"/>
    <n v="8114992"/>
    <d v="2020-03-06T00:00:00"/>
    <d v="2020-09-30T00:00:00"/>
    <s v="MAURITIUS SUGAR SYNDICATE"/>
    <n v="42.15"/>
    <n v="-1000000"/>
    <n v="0"/>
    <s v="Less than 90 days"/>
    <s v="MAURITIUS SUGAR SYNDICATE"/>
    <s v="C Yue Chi Ming"/>
    <s v=""/>
  </r>
  <r>
    <s v="EUR808033102/03/202030/09/2020ABSA BANK41.97-735000"/>
    <x v="5"/>
    <n v="8080331"/>
    <d v="2020-03-02T00:00:00"/>
    <d v="2020-09-30T00:00:00"/>
    <s v="ABSA BANK"/>
    <n v="41.97"/>
    <n v="-735000"/>
    <n v="0"/>
    <s v="Less than 90 days"/>
    <s v=""/>
    <s v=""/>
    <s v=""/>
  </r>
  <r>
    <s v="EUR550727914/06/201811/07/2022BH PROPERTY INVESTMENTS LTD44.9522246.94"/>
    <x v="5"/>
    <n v="5507279"/>
    <d v="2018-06-14T00:00:00"/>
    <d v="2022-07-11T00:00:00"/>
    <s v="BH PROPERTY INVESTMENTS LTD"/>
    <n v="44.95"/>
    <n v="22246.94"/>
    <n v="0"/>
    <s v="Less than 90 days"/>
    <s v=""/>
    <s v=""/>
    <s v=""/>
  </r>
  <r>
    <s v="EUR803423420/02/202028/08/2020MAURITIUS SUGAR SYNDICATE41.25-1000000"/>
    <x v="5"/>
    <n v="8034234"/>
    <d v="2020-02-20T00:00:00"/>
    <d v="2020-08-28T00:00:00"/>
    <s v="MAURITIUS SUGAR SYNDICATE"/>
    <n v="41.25"/>
    <n v="-1000000"/>
    <n v="0"/>
    <s v="Less than 90 days"/>
    <s v="MAURITIUS SUGAR SYNDICATE"/>
    <s v="C Yue Chi Ming"/>
    <s v=""/>
  </r>
  <r>
    <s v="EUR860666703/07/202030/10/2020H.VAULBERT DE CHANTILLY LTD(HVC LTD)45.33150000"/>
    <x v="5"/>
    <n v="8606667"/>
    <d v="2020-07-03T00:00:00"/>
    <d v="2020-10-30T00:00:00"/>
    <s v="H.VAULBERT DE CHANTILLY LTD(HVC LTD)"/>
    <n v="45.33"/>
    <n v="150000"/>
    <n v="0"/>
    <s v="Less than 90 days"/>
    <s v=""/>
    <s v=""/>
    <s v=""/>
  </r>
  <r>
    <s v="EUR550742514/06/201810/05/2023BH PROPERTY INVESTMENTS LTD44.9522246.94"/>
    <x v="5"/>
    <n v="5507425"/>
    <d v="2018-06-14T00:00:00"/>
    <d v="2023-05-10T00:00:00"/>
    <s v="BH PROPERTY INVESTMENTS LTD"/>
    <n v="44.95"/>
    <n v="22246.94"/>
    <n v="0"/>
    <s v="Less than 90 days"/>
    <s v=""/>
    <s v=""/>
    <s v=""/>
  </r>
  <r>
    <s v="EUR550741614/06/201811/04/2023BH PROPERTY INVESTMENTS LTD44.9522246.94"/>
    <x v="5"/>
    <n v="5507416"/>
    <d v="2018-06-14T00:00:00"/>
    <d v="2023-04-11T00:00:00"/>
    <s v="BH PROPERTY INVESTMENTS LTD"/>
    <n v="44.95"/>
    <n v="22246.94"/>
    <n v="0"/>
    <s v="Less than 90 days"/>
    <s v=""/>
    <s v=""/>
    <s v=""/>
  </r>
  <r>
    <s v="EUR550741014/06/201810/03/2023BH PROPERTY INVESTMENTS LTD44.9522246.94"/>
    <x v="5"/>
    <n v="5507410"/>
    <d v="2018-06-14T00:00:00"/>
    <d v="2023-03-10T00:00:00"/>
    <s v="BH PROPERTY INVESTMENTS LTD"/>
    <n v="44.95"/>
    <n v="22246.94"/>
    <n v="0"/>
    <s v="Less than 90 days"/>
    <s v=""/>
    <s v=""/>
    <s v=""/>
  </r>
  <r>
    <s v="EUR550740414/06/201810/02/2023BH PROPERTY INVESTMENTS LTD44.9522246.94"/>
    <x v="5"/>
    <n v="5507404"/>
    <d v="2018-06-14T00:00:00"/>
    <d v="2023-02-10T00:00:00"/>
    <s v="BH PROPERTY INVESTMENTS LTD"/>
    <n v="44.95"/>
    <n v="22246.94"/>
    <n v="0"/>
    <s v="Less than 90 days"/>
    <s v=""/>
    <s v=""/>
    <s v=""/>
  </r>
  <r>
    <s v="EUR550739614/06/201810/01/2023BH PROPERTY INVESTMENTS LTD44.9522246.94"/>
    <x v="5"/>
    <n v="5507396"/>
    <d v="2018-06-14T00:00:00"/>
    <d v="2023-01-10T00:00:00"/>
    <s v="BH PROPERTY INVESTMENTS LTD"/>
    <n v="44.95"/>
    <n v="22246.94"/>
    <n v="0"/>
    <s v="Less than 90 days"/>
    <s v=""/>
    <s v=""/>
    <s v=""/>
  </r>
  <r>
    <s v="EUR550739214/06/201812/12/2022BH PROPERTY INVESTMENTS LTD44.9522246.94"/>
    <x v="5"/>
    <n v="5507392"/>
    <d v="2018-06-14T00:00:00"/>
    <d v="2022-12-12T00:00:00"/>
    <s v="BH PROPERTY INVESTMENTS LTD"/>
    <n v="44.95"/>
    <n v="22246.94"/>
    <n v="0"/>
    <s v="Less than 90 days"/>
    <s v=""/>
    <s v=""/>
    <s v=""/>
  </r>
  <r>
    <s v="EUR798720010/02/202015/01/2021ABSA BANK1.11696-895288.01"/>
    <x v="5"/>
    <n v="7987200"/>
    <d v="2020-02-10T00:00:00"/>
    <d v="2021-01-15T00:00:00"/>
    <s v="ABSA BANK"/>
    <n v="1.11696"/>
    <n v="-895288.01"/>
    <n v="0"/>
    <s v="Less than 90 days"/>
    <s v=""/>
    <s v=""/>
    <s v=""/>
  </r>
  <r>
    <s v="EUR798752810/02/202015/01/2021BANK ONE1.1172895094.88"/>
    <x v="5"/>
    <n v="7987528"/>
    <d v="2020-02-10T00:00:00"/>
    <d v="2021-01-15T00:00:00"/>
    <s v="BANK ONE"/>
    <n v="1.1172"/>
    <n v="895094.88"/>
    <n v="0"/>
    <s v="Less than 90 days"/>
    <s v=""/>
    <s v=""/>
    <s v=""/>
  </r>
  <r>
    <s v="EUR550734814/06/201810/11/2022BH PROPERTY INVESTMENTS LTD44.9522246.94"/>
    <x v="5"/>
    <n v="5507348"/>
    <d v="2018-06-14T00:00:00"/>
    <d v="2022-11-10T00:00:00"/>
    <s v="BH PROPERTY INVESTMENTS LTD"/>
    <n v="44.95"/>
    <n v="22246.94"/>
    <n v="0"/>
    <s v="Less than 90 days"/>
    <s v=""/>
    <s v=""/>
    <s v=""/>
  </r>
  <r>
    <s v="EUR550732714/06/201811/10/2022BH PROPERTY INVESTMENTS LTD44.9522246.94"/>
    <x v="5"/>
    <n v="5507327"/>
    <d v="2018-06-14T00:00:00"/>
    <d v="2022-10-11T00:00:00"/>
    <s v="BH PROPERTY INVESTMENTS LTD"/>
    <n v="44.95"/>
    <n v="22246.94"/>
    <n v="0"/>
    <s v="Less than 90 days"/>
    <s v=""/>
    <s v=""/>
    <s v=""/>
  </r>
  <r>
    <s v="EUR550745814/06/201812/06/2023BH PROPERTY INVESTMENTS LTD44.9522246.94"/>
    <x v="5"/>
    <n v="5507458"/>
    <d v="2018-06-14T00:00:00"/>
    <d v="2023-06-12T00:00:00"/>
    <s v="BH PROPERTY INVESTMENTS LTD"/>
    <n v="44.95"/>
    <n v="22246.94"/>
    <n v="0"/>
    <s v="Less than 90 days"/>
    <s v=""/>
    <s v=""/>
    <s v=""/>
  </r>
  <r>
    <s v="EUR880909720/08/202024/08/2020Mauritius IBD1.1826-400000"/>
    <x v="5"/>
    <n v="8809097"/>
    <d v="2020-08-20T00:00:00"/>
    <d v="2020-08-24T00:00:00"/>
    <s v="Mauritius IBD"/>
    <n v="1.1826000000000001"/>
    <n v="-400000"/>
    <n v="0"/>
    <s v="Less than 90 days"/>
    <s v=""/>
    <s v=""/>
    <s v=""/>
  </r>
  <r>
    <s v="EUR880906720/08/202024/08/2020BARCLAYS BANK PLC LONDON1.1824200000"/>
    <x v="5"/>
    <n v="8809067"/>
    <d v="2020-08-20T00:00:00"/>
    <d v="2020-08-24T00:00:00"/>
    <s v="BARCLAYS BANK PLC LONDON"/>
    <n v="1.1823999999999999"/>
    <n v="200000"/>
    <n v="0"/>
    <s v="Less than 90 days"/>
    <s v=""/>
    <s v=""/>
    <s v=""/>
  </r>
  <r>
    <s v="EUR880896220/08/202024/08/2020QUALITY BEVERAGES LTD47.2400000"/>
    <x v="5"/>
    <n v="8808962"/>
    <d v="2020-08-20T00:00:00"/>
    <d v="2020-08-24T00:00:00"/>
    <s v="QUALITY BEVERAGES LTD"/>
    <n v="47.2"/>
    <n v="400000"/>
    <n v="0"/>
    <s v="Less than 90 days"/>
    <s v="QUALITY BEVERAGES LTD"/>
    <s v="Jaimie Purmah"/>
    <s v=""/>
  </r>
  <r>
    <s v="EUR880896120/08/202024/08/2020BARCLAYS BANK PLC LONDON1.1853-200000"/>
    <x v="5"/>
    <n v="8808961"/>
    <d v="2020-08-20T00:00:00"/>
    <d v="2020-08-24T00:00:00"/>
    <s v="BARCLAYS BANK PLC LONDON"/>
    <n v="1.1853"/>
    <n v="-200000"/>
    <n v="0"/>
    <s v="Less than 90 days"/>
    <s v=""/>
    <s v=""/>
    <s v=""/>
  </r>
  <r>
    <s v="EUR880269719/08/202021/12/2020MAURITIUS SUGAR SYNDICATE47.5-500000"/>
    <x v="5"/>
    <n v="8802697"/>
    <d v="2020-08-19T00:00:00"/>
    <d v="2020-12-21T00:00:00"/>
    <s v="MAURITIUS SUGAR SYNDICATE"/>
    <n v="47.5"/>
    <n v="-500000"/>
    <n v="0"/>
    <s v="Less than 90 days"/>
    <s v="MAURITIUS SUGAR SYNDICATE"/>
    <s v="C Yue Chi Ming"/>
    <s v=""/>
  </r>
  <r>
    <s v="EUR880894020/08/202024/08/2020BARCLAYS BANK PLC LONDON1.18516-74000"/>
    <x v="5"/>
    <n v="8808940"/>
    <d v="2020-08-20T00:00:00"/>
    <d v="2020-08-24T00:00:00"/>
    <s v="BARCLAYS BANK PLC LONDON"/>
    <n v="1.18516"/>
    <n v="-74000"/>
    <n v="0"/>
    <s v="Less than 90 days"/>
    <s v=""/>
    <s v=""/>
    <s v=""/>
  </r>
  <r>
    <s v="EUR880377219/08/202003/09/2020OMNICANE MILLING OPERATIONS LIMITED47.42100000"/>
    <x v="5"/>
    <n v="8803772"/>
    <d v="2020-08-19T00:00:00"/>
    <d v="2020-09-03T00:00:00"/>
    <s v="OMNICANE MILLING OPERATIONS LIMITED"/>
    <n v="47.42"/>
    <n v="100000"/>
    <n v="0"/>
    <s v="Less than 90 days"/>
    <s v=""/>
    <s v=""/>
    <s v=""/>
  </r>
  <r>
    <s v="EUR879478717/08/202028/08/2020MAURITIUS SUGAR SYNDICATE47.095-3000000"/>
    <x v="5"/>
    <n v="8794787"/>
    <d v="2020-08-17T00:00:00"/>
    <d v="2020-08-28T00:00:00"/>
    <s v="MAURITIUS SUGAR SYNDICATE"/>
    <n v="47.094999999999999"/>
    <n v="-3000000"/>
    <n v="0"/>
    <s v="Less than 90 days"/>
    <s v="MAURITIUS SUGAR SYNDICATE"/>
    <s v="C Yue Chi Ming"/>
    <s v=""/>
  </r>
  <r>
    <s v="EUR881521021/08/202024/09/2020IRELAND BLYTH LIMITED47.05108530"/>
    <x v="5"/>
    <n v="8815210"/>
    <d v="2020-08-21T00:00:00"/>
    <d v="2020-09-24T00:00:00"/>
    <s v="IRELAND BLYTH LIMITED"/>
    <n v="47.05"/>
    <n v="108530"/>
    <n v="0"/>
    <s v="Less than 90 days"/>
    <s v="IRELAND BLYTH LIMITED"/>
    <s v="Kavita Ramruttun"/>
    <s v=""/>
  </r>
  <r>
    <s v="EUR881517221/08/202001/09/2020IRELAND BLYTH LIMITED47.015416268.72"/>
    <x v="5"/>
    <n v="8815172"/>
    <d v="2020-08-21T00:00:00"/>
    <d v="2020-09-01T00:00:00"/>
    <s v="IRELAND BLYTH LIMITED"/>
    <n v="47.015000000000001"/>
    <n v="416268.72"/>
    <n v="0"/>
    <s v="Less than 90 days"/>
    <s v="IRELAND BLYTH LIMITED"/>
    <s v="Kavita Ramruttun"/>
    <s v=""/>
  </r>
  <r>
    <s v="EUR881522621/08/202025/08/2020BARCLAYS BANK PLC LONDON1.17927-416000"/>
    <x v="5"/>
    <n v="8815226"/>
    <d v="2020-08-21T00:00:00"/>
    <d v="2020-08-25T00:00:00"/>
    <s v="BARCLAYS BANK PLC LONDON"/>
    <n v="1.17927"/>
    <n v="-416000"/>
    <n v="0"/>
    <s v="Less than 90 days"/>
    <s v=""/>
    <s v=""/>
    <s v=""/>
  </r>
  <r>
    <s v="EUR881516321/08/202025/08/2020ABSA BANK1.17855-116000"/>
    <x v="5"/>
    <n v="8815163"/>
    <d v="2020-08-21T00:00:00"/>
    <d v="2020-08-25T00:00:00"/>
    <s v="ABSA BANK"/>
    <n v="1.17855"/>
    <n v="-116000"/>
    <n v="0"/>
    <s v="Less than 90 days"/>
    <s v=""/>
    <s v=""/>
    <s v=""/>
  </r>
  <r>
    <s v="EUR881112820/08/202024/08/2020BARCLAYS BANK PLC LONDON1.1848370000"/>
    <x v="5"/>
    <n v="8811128"/>
    <d v="2020-08-20T00:00:00"/>
    <d v="2020-08-24T00:00:00"/>
    <s v="BARCLAYS BANK PLC LONDON"/>
    <n v="1.18483"/>
    <n v="70000"/>
    <n v="0"/>
    <s v="Less than 90 days"/>
    <s v=""/>
    <s v=""/>
    <s v=""/>
  </r>
  <r>
    <s v="EUR880909820/08/202024/08/2020CITIBANK N.A. LONDON1.18552000000"/>
    <x v="5"/>
    <n v="8809098"/>
    <d v="2020-08-20T00:00:00"/>
    <d v="2020-08-24T00:00:00"/>
    <s v="CITIBANK N.A. LONDON"/>
    <n v="1.1855"/>
    <n v="2000000"/>
    <n v="0"/>
    <s v="Less than 90 days"/>
    <s v=""/>
    <s v=""/>
    <s v=""/>
  </r>
  <r>
    <s v="EUR880200119/08/202011/09/2020MAURITIUS SUGAR SYNDICATE1.1941-500000"/>
    <x v="5"/>
    <n v="8802001"/>
    <d v="2020-08-19T00:00:00"/>
    <d v="2020-09-11T00:00:00"/>
    <s v="MAURITIUS SUGAR SYNDICATE"/>
    <n v="1.1940999999999999"/>
    <n v="-500000"/>
    <n v="0"/>
    <s v="Less than 90 days"/>
    <s v="MAURITIUS SUGAR SYNDICATE"/>
    <s v="C Yue Chi Ming"/>
    <s v=""/>
  </r>
  <r>
    <s v="EUR880922020/08/202024/08/2020CITIBANK N.A. LONDON1.18269-2000000"/>
    <x v="5"/>
    <n v="8809220"/>
    <d v="2020-08-20T00:00:00"/>
    <d v="2020-08-24T00:00:00"/>
    <s v="CITIBANK N.A. LONDON"/>
    <n v="1.18269"/>
    <n v="-2000000"/>
    <n v="0"/>
    <s v="Less than 90 days"/>
    <s v=""/>
    <s v=""/>
    <s v=""/>
  </r>
  <r>
    <s v="EUR880916820/08/202024/08/2020BARCLAYS BANK PLC LONDON1.18169-92000"/>
    <x v="5"/>
    <n v="8809168"/>
    <d v="2020-08-20T00:00:00"/>
    <d v="2020-08-24T00:00:00"/>
    <s v="BARCLAYS BANK PLC LONDON"/>
    <n v="1.1816899999999999"/>
    <n v="-92000"/>
    <n v="0"/>
    <s v="Less than 90 days"/>
    <s v=""/>
    <s v=""/>
    <s v=""/>
  </r>
  <r>
    <s v="EUR881176220/08/202024/08/2020Mauritius IBD1.1855-2000000"/>
    <x v="5"/>
    <n v="8811762"/>
    <d v="2020-08-20T00:00:00"/>
    <d v="2020-08-24T00:00:00"/>
    <s v="Mauritius IBD"/>
    <n v="1.1855"/>
    <n v="-2000000"/>
    <n v="0"/>
    <s v="Less than 90 days"/>
    <s v=""/>
    <s v=""/>
    <s v=""/>
  </r>
  <r>
    <s v="EUR881176420/08/202024/08/2020Mauritius IBD1.182692000000"/>
    <x v="5"/>
    <n v="8811764"/>
    <d v="2020-08-20T00:00:00"/>
    <d v="2020-08-24T00:00:00"/>
    <s v="Mauritius IBD"/>
    <n v="1.18269"/>
    <n v="2000000"/>
    <n v="0"/>
    <s v="Less than 90 days"/>
    <s v=""/>
    <s v=""/>
    <s v=""/>
  </r>
  <r>
    <s v="EUR881502521/08/202025/08/2020BARCLAYS BANK PLC LONDON1.1814860000"/>
    <x v="5"/>
    <n v="8815025"/>
    <d v="2020-08-21T00:00:00"/>
    <d v="2020-08-25T00:00:00"/>
    <s v="BARCLAYS BANK PLC LONDON"/>
    <n v="1.1814800000000001"/>
    <n v="60000"/>
    <n v="0"/>
    <s v="Less than 90 days"/>
    <s v=""/>
    <s v=""/>
    <s v=""/>
  </r>
  <r>
    <s v="EUR879476217/08/202027/08/2020MAURITIUS SUGAR SYNDICATE47.095-2000000"/>
    <x v="5"/>
    <n v="8794762"/>
    <d v="2020-08-17T00:00:00"/>
    <d v="2020-08-27T00:00:00"/>
    <s v="MAURITIUS SUGAR SYNDICATE"/>
    <n v="47.094999999999999"/>
    <n v="-2000000"/>
    <n v="0"/>
    <s v="Less than 90 days"/>
    <s v="MAURITIUS SUGAR SYNDICATE"/>
    <s v="C Yue Chi Ming"/>
    <s v=""/>
  </r>
  <r>
    <s v="EUR881382221/08/202025/08/2020BARCLAYS BANK PLC LONDON1.1844-322000"/>
    <x v="5"/>
    <n v="8813822"/>
    <d v="2020-08-21T00:00:00"/>
    <d v="2020-08-25T00:00:00"/>
    <s v="BARCLAYS BANK PLC LONDON"/>
    <n v="1.1843999999999999"/>
    <n v="-322000"/>
    <n v="0"/>
    <s v="Less than 90 days"/>
    <s v=""/>
    <s v=""/>
    <s v=""/>
  </r>
  <r>
    <s v="EUR881608321/08/202028/08/2020ABSA BANK1.1778515000000"/>
    <x v="5"/>
    <n v="8816083"/>
    <d v="2020-08-21T00:00:00"/>
    <d v="2020-08-28T00:00:00"/>
    <s v="ABSA BANK"/>
    <n v="1.1778500000000001"/>
    <n v="15000000"/>
    <n v="0"/>
    <s v="Less than 90 days"/>
    <s v=""/>
    <s v=""/>
    <s v=""/>
  </r>
  <r>
    <s v="EUR879746318/08/202011/09/2020MAURITIUS SUGAR SYNDICATE1.1892-500000"/>
    <x v="5"/>
    <n v="8797463"/>
    <d v="2020-08-18T00:00:00"/>
    <d v="2020-09-11T00:00:00"/>
    <s v="MAURITIUS SUGAR SYNDICATE"/>
    <n v="1.1892"/>
    <n v="-500000"/>
    <n v="0"/>
    <s v="Less than 90 days"/>
    <s v="MAURITIUS SUGAR SYNDICATE"/>
    <s v="C Yue Chi Ming"/>
    <s v=""/>
  </r>
  <r>
    <s v="EUR880046518/08/202025/08/2020ABSA BANK1.1943923000000"/>
    <x v="5"/>
    <n v="8800465"/>
    <d v="2020-08-18T00:00:00"/>
    <d v="2020-08-25T00:00:00"/>
    <s v="ABSA BANK"/>
    <n v="1.1943900000000001"/>
    <n v="23000000"/>
    <n v="0"/>
    <s v="Less than 90 days"/>
    <s v=""/>
    <s v=""/>
    <s v=""/>
  </r>
  <r>
    <s v="EUR881407321/08/202025/08/2020CITIBANK N.A. LONDON1.181522000000"/>
    <x v="5"/>
    <n v="8814073"/>
    <d v="2020-08-21T00:00:00"/>
    <d v="2020-08-25T00:00:00"/>
    <s v="CITIBANK N.A. LONDON"/>
    <n v="1.1815199999999999"/>
    <n v="2000000"/>
    <n v="0"/>
    <s v="Less than 90 days"/>
    <s v=""/>
    <s v=""/>
    <s v=""/>
  </r>
  <r>
    <s v="EUR880894120/08/202024/08/2020PHARMACIE NOUVELLE LTD47.18274283.86"/>
    <x v="5"/>
    <n v="8808941"/>
    <d v="2020-08-20T00:00:00"/>
    <d v="2020-08-24T00:00:00"/>
    <s v="PHARMACIE NOUVELLE LTD"/>
    <n v="47.18"/>
    <n v="274283.86"/>
    <n v="0"/>
    <s v="Less than 90 days"/>
    <s v="PHARMACIE NOUVELLE LTD"/>
    <s v="Kavita Ramruttun"/>
    <s v=""/>
  </r>
  <r>
    <s v="EUR881631721/08/202025/08/2020BARCLAYS BANK PLC LONDON1.1760368000"/>
    <x v="5"/>
    <n v="8816317"/>
    <d v="2020-08-21T00:00:00"/>
    <d v="2020-08-25T00:00:00"/>
    <s v="BARCLAYS BANK PLC LONDON"/>
    <n v="1.1760299999999999"/>
    <n v="68000"/>
    <n v="0"/>
    <s v="Less than 90 days"/>
    <s v=""/>
    <s v=""/>
    <s v=""/>
  </r>
  <r>
    <s v="EUR881406821/08/202025/08/2020CITIBANK N.A. LONDON1.18352-2000000"/>
    <x v="5"/>
    <n v="8814068"/>
    <d v="2020-08-21T00:00:00"/>
    <d v="2020-08-25T00:00:00"/>
    <s v="CITIBANK N.A. LONDON"/>
    <n v="1.1835199999999999"/>
    <n v="-2000000"/>
    <n v="0"/>
    <s v="Less than 90 days"/>
    <s v=""/>
    <s v=""/>
    <s v=""/>
  </r>
  <r>
    <s v="GBP881446521/08/202025/08/2020BARCLAYS BANK PLC LONDON1.3191898000"/>
    <x v="6"/>
    <n v="8814465"/>
    <d v="2020-08-21T00:00:00"/>
    <d v="2020-08-25T00:00:00"/>
    <s v="BARCLAYS BANK PLC LONDON"/>
    <n v="1.31918"/>
    <n v="98000"/>
    <n v="0"/>
    <s v="Less than 90 days"/>
    <s v=""/>
    <s v=""/>
    <s v=""/>
  </r>
  <r>
    <s v="GBP881113220/08/202024/08/2020BARCLAYS BANK PLC LONDON1.31436-10000"/>
    <x v="6"/>
    <n v="8811132"/>
    <d v="2020-08-20T00:00:00"/>
    <d v="2020-08-24T00:00:00"/>
    <s v="BARCLAYS BANK PLC LONDON"/>
    <n v="1.31436"/>
    <n v="-10000"/>
    <n v="0"/>
    <s v="Less than 90 days"/>
    <s v=""/>
    <s v=""/>
    <s v=""/>
  </r>
  <r>
    <s v="GBP864616314/07/202016/10/2020ABSA BANK1.25322-10000000"/>
    <x v="6"/>
    <n v="8646163"/>
    <d v="2020-07-14T00:00:00"/>
    <d v="2020-10-16T00:00:00"/>
    <s v="ABSA BANK"/>
    <n v="1.25322"/>
    <n v="-10000000"/>
    <n v="0"/>
    <s v="Less than 90 days"/>
    <s v=""/>
    <s v=""/>
    <s v=""/>
  </r>
  <r>
    <s v="GBP880910320/08/202024/08/2020BARCLAYS BANK PLC LONDON1.30747-35000"/>
    <x v="6"/>
    <n v="8809103"/>
    <d v="2020-08-20T00:00:00"/>
    <d v="2020-08-24T00:00:00"/>
    <s v="BARCLAYS BANK PLC LONDON"/>
    <n v="1.3074699999999999"/>
    <n v="-35000"/>
    <n v="0"/>
    <s v="Less than 90 days"/>
    <s v=""/>
    <s v=""/>
    <s v=""/>
  </r>
  <r>
    <s v="GBP880830720/08/202024/08/2020INTERNATIONAL DISTILLERS (MAURITIUS)LTD52.623857.05"/>
    <x v="6"/>
    <n v="8808307"/>
    <d v="2020-08-20T00:00:00"/>
    <d v="2020-08-24T00:00:00"/>
    <s v="INTERNATIONAL DISTILLERS (MAURITIUS)LTD"/>
    <n v="52.6"/>
    <n v="23857.05"/>
    <n v="0"/>
    <s v="Less than 90 days"/>
    <s v=""/>
    <s v=""/>
    <s v=""/>
  </r>
  <r>
    <s v="GBP881332021/08/202025/08/2020BARCLAYS BANK PLC LONDON1.3235850000"/>
    <x v="6"/>
    <n v="8813320"/>
    <d v="2020-08-21T00:00:00"/>
    <d v="2020-08-25T00:00:00"/>
    <s v="BARCLAYS BANK PLC LONDON"/>
    <n v="1.32358"/>
    <n v="50000"/>
    <n v="0"/>
    <s v="Less than 90 days"/>
    <s v=""/>
    <s v=""/>
    <s v=""/>
  </r>
  <r>
    <s v="GBP881632321/08/202025/08/2020BARCLAYS BANK PLC LONDON1.3102913000"/>
    <x v="6"/>
    <n v="8816323"/>
    <d v="2020-08-21T00:00:00"/>
    <d v="2020-08-25T00:00:00"/>
    <s v="BARCLAYS BANK PLC LONDON"/>
    <n v="1.31029"/>
    <n v="13000"/>
    <n v="0"/>
    <s v="Less than 90 days"/>
    <s v=""/>
    <s v=""/>
    <s v=""/>
  </r>
  <r>
    <s v="GBP881330821/08/202025/08/2020SHIBANI FINANCE COMPANY LIMITED52.55-50000"/>
    <x v="6"/>
    <n v="8813308"/>
    <d v="2020-08-21T00:00:00"/>
    <d v="2020-08-25T00:00:00"/>
    <s v="SHIBANI FINANCE COMPANY LIMITED"/>
    <n v="52.55"/>
    <n v="-50000"/>
    <n v="0"/>
    <s v="Less than 90 days"/>
    <s v="SHIBANI FINANCE COMPANY LIMITED"/>
    <s v="Georgy Geerdharry"/>
    <s v=""/>
  </r>
  <r>
    <s v="HKD876681611/08/202026/08/2020BARCLAYS BANK PLC LONDON7.750531000000"/>
    <x v="7"/>
    <n v="8766816"/>
    <d v="2020-08-11T00:00:00"/>
    <d v="2020-08-26T00:00:00"/>
    <s v="BARCLAYS BANK PLC LONDON"/>
    <n v="7.7505300000000004"/>
    <n v="1000000"/>
    <n v="0"/>
    <s v="Less than 90 days"/>
    <s v=""/>
    <s v=""/>
    <s v=""/>
  </r>
  <r>
    <s v="HKD881128220/08/202024/08/2020BARCLAYS BANK PLC LONDON7.75015-13000"/>
    <x v="7"/>
    <n v="8811282"/>
    <d v="2020-08-20T00:00:00"/>
    <d v="2020-08-24T00:00:00"/>
    <s v="BARCLAYS BANK PLC LONDON"/>
    <n v="7.7501499999999997"/>
    <n v="-13000"/>
    <n v="0"/>
    <s v="Less than 90 days"/>
    <s v=""/>
    <s v=""/>
    <s v=""/>
  </r>
  <r>
    <s v="JPY881550321/08/202024/08/2020REAL AUTOMOBILE AGENCY LTD0.37752483000"/>
    <x v="8"/>
    <n v="8815503"/>
    <d v="2020-08-21T00:00:00"/>
    <d v="2020-08-24T00:00:00"/>
    <s v="REAL AUTOMOBILE AGENCY LTD"/>
    <n v="0.3775"/>
    <n v="2483000"/>
    <n v="0"/>
    <s v="Less than 90 days"/>
    <s v=""/>
    <s v=""/>
    <s v=""/>
  </r>
  <r>
    <s v="JPY881633921/08/202025/08/2020BARCLAYS BANK PLC LONDON105.821-2500000"/>
    <x v="8"/>
    <n v="8816339"/>
    <d v="2020-08-21T00:00:00"/>
    <d v="2020-08-25T00:00:00"/>
    <s v="BARCLAYS BANK PLC LONDON"/>
    <n v="105.821"/>
    <n v="-2500000"/>
    <n v="0"/>
    <s v="Less than 90 days"/>
    <s v=""/>
    <s v=""/>
    <s v=""/>
  </r>
  <r>
    <s v="JPY872674031/07/202016/11/2020CFAO MOTORS MAURITIUS LTD0.38574577300.6"/>
    <x v="8"/>
    <n v="8726740"/>
    <d v="2020-07-31T00:00:00"/>
    <d v="2020-11-16T00:00:00"/>
    <s v="CFAO MOTORS MAURITIUS LTD"/>
    <n v="0.38500000000000001"/>
    <n v="74577300.599999994"/>
    <n v="0"/>
    <s v="Less than 90 days"/>
    <s v=""/>
    <s v=""/>
    <s v=""/>
  </r>
  <r>
    <s v="JPY881503221/08/202025/08/2020BARCLAYS BANK PLC LONDON105.598-620000"/>
    <x v="8"/>
    <n v="8815032"/>
    <d v="2020-08-21T00:00:00"/>
    <d v="2020-08-25T00:00:00"/>
    <s v="BARCLAYS BANK PLC LONDON"/>
    <n v="105.598"/>
    <n v="-620000"/>
    <n v="0"/>
    <s v="Less than 90 days"/>
    <s v=""/>
    <s v=""/>
    <s v=""/>
  </r>
  <r>
    <s v="SCR857592726/06/202026/10/2020Absa Bank Seychelles (ABSC)18.452929524640"/>
    <x v="9"/>
    <n v="8575927"/>
    <d v="2020-06-26T00:00:00"/>
    <d v="2020-10-26T00:00:00"/>
    <s v="Absa Bank Seychelles (ABSC)"/>
    <n v="18.4529"/>
    <n v="29524640"/>
    <n v="0"/>
    <s v="Less than 90 days"/>
    <s v=""/>
    <s v=""/>
    <s v=""/>
  </r>
  <r>
    <s v="SCR857640326/06/202026/10/2020SBMH GROUP MAURITIUS LTD18.5829-29732640"/>
    <x v="9"/>
    <n v="8576403"/>
    <d v="2020-06-26T00:00:00"/>
    <d v="2020-10-26T00:00:00"/>
    <s v="SBMH GROUP MAURITIUS LTD"/>
    <n v="18.582899999999999"/>
    <n v="-29732640"/>
    <n v="0"/>
    <s v="Less than 90 days"/>
    <s v="SBMH GROUP MAURITIUS LTD"/>
    <s v="Harish Bhoyroo"/>
    <s v=""/>
  </r>
  <r>
    <s v="SEK881634021/08/202025/08/2020BARCLAYS BANK PLC LONDON8.8074430000"/>
    <x v="10"/>
    <n v="8816340"/>
    <d v="2020-08-21T00:00:00"/>
    <d v="2020-08-25T00:00:00"/>
    <s v="BARCLAYS BANK PLC LONDON"/>
    <n v="8.8074399999999997"/>
    <n v="30000"/>
    <n v="0"/>
    <s v="Less than 90 days"/>
    <s v=""/>
    <s v=""/>
    <s v=""/>
  </r>
  <r>
    <s v="SEK881111920/08/202024/08/2020BARCLAYS BANK PLC LONDON8.7421930000"/>
    <x v="10"/>
    <n v="8811119"/>
    <d v="2020-08-20T00:00:00"/>
    <d v="2020-08-24T00:00:00"/>
    <s v="BARCLAYS BANK PLC LONDON"/>
    <n v="8.7421900000000008"/>
    <n v="30000"/>
    <n v="0"/>
    <s v="Less than 90 days"/>
    <s v=""/>
    <s v=""/>
    <s v=""/>
  </r>
  <r>
    <s v="SGD881381421/08/202024/08/2020BARCLAYS BANK PLC LONDON1.36719-150000"/>
    <x v="11"/>
    <n v="8813814"/>
    <d v="2020-08-21T00:00:00"/>
    <d v="2020-08-24T00:00:00"/>
    <s v="BARCLAYS BANK PLC LONDON"/>
    <n v="1.3671899999999999"/>
    <n v="-150000"/>
    <n v="0"/>
    <s v="Less than 90 days"/>
    <s v=""/>
    <s v=""/>
    <s v=""/>
  </r>
  <r>
    <s v="SGD881610321/08/202014/09/2020ABSA BANK1.3712150000"/>
    <x v="11"/>
    <n v="8816103"/>
    <d v="2020-08-21T00:00:00"/>
    <d v="2020-09-14T00:00:00"/>
    <s v="ABSA BANK"/>
    <n v="1.3712"/>
    <n v="150000"/>
    <n v="0"/>
    <s v="Less than 90 days"/>
    <s v=""/>
    <s v=""/>
    <s v=""/>
  </r>
  <r>
    <s v="SGD881610221/08/202024/08/2020ABSA BANK1.37058-150000"/>
    <x v="11"/>
    <n v="8816102"/>
    <d v="2020-08-21T00:00:00"/>
    <d v="2020-08-24T00:00:00"/>
    <s v="ABSA BANK"/>
    <n v="1.3705799999999999"/>
    <n v="-150000"/>
    <n v="0"/>
    <s v="Less than 90 days"/>
    <s v=""/>
    <s v=""/>
    <s v=""/>
  </r>
  <r>
    <s v="SGD881340521/08/202024/08/2020SOCIMED LTD29.35141864.75"/>
    <x v="11"/>
    <n v="8813405"/>
    <d v="2020-08-21T00:00:00"/>
    <d v="2020-08-24T00:00:00"/>
    <s v="SOCIMED LTD"/>
    <n v="29.35"/>
    <n v="141864.75"/>
    <n v="0"/>
    <s v="Less than 90 days"/>
    <s v="SOCIMED LTD"/>
    <s v="Georgy Geerdharry"/>
    <s v=""/>
  </r>
  <r>
    <s v="USD881349121/08/202024/08/2020DUCRAY LENOIR LIMITED39.916920"/>
    <x v="12"/>
    <n v="8813491"/>
    <d v="2020-08-21T00:00:00"/>
    <d v="2020-08-24T00:00:00"/>
    <s v="DUCRAY LENOIR LIMITED"/>
    <n v="39.9"/>
    <n v="16920"/>
    <n v="0"/>
    <s v="Less than 90 days"/>
    <s v="DUCRAY LENOIR LIMITED"/>
    <s v="Jaimie Purmah"/>
    <s v=""/>
  </r>
  <r>
    <s v="USD881447021/08/202025/08/2020BARCLAYS BANK PLC LONDON17.2729116094.57"/>
    <x v="12"/>
    <n v="8814470"/>
    <d v="2020-08-21T00:00:00"/>
    <d v="2020-08-25T00:00:00"/>
    <s v="BARCLAYS BANK PLC LONDON"/>
    <n v="17.27291"/>
    <n v="16094.57"/>
    <n v="0"/>
    <s v="Less than 90 days"/>
    <s v=""/>
    <s v=""/>
    <s v=""/>
  </r>
  <r>
    <s v="USD881502621/08/202024/08/2020BARCLAYS BANK PLC LONDON1.31939-15158.52"/>
    <x v="12"/>
    <n v="8815026"/>
    <d v="2020-08-21T00:00:00"/>
    <d v="2020-08-24T00:00:00"/>
    <s v="BARCLAYS BANK PLC LONDON"/>
    <n v="1.3193900000000001"/>
    <n v="-15158.52"/>
    <n v="0"/>
    <s v="Less than 90 days"/>
    <s v=""/>
    <s v=""/>
    <s v=""/>
  </r>
  <r>
    <s v="USD881634021/08/202025/08/2020BARCLAYS BANK PLC LONDON8.80744-3406.21"/>
    <x v="12"/>
    <n v="8816340"/>
    <d v="2020-08-21T00:00:00"/>
    <d v="2020-08-25T00:00:00"/>
    <s v="BARCLAYS BANK PLC LONDON"/>
    <n v="8.8074399999999997"/>
    <n v="-3406.21"/>
    <n v="0"/>
    <s v="Less than 90 days"/>
    <s v=""/>
    <s v=""/>
    <s v=""/>
  </r>
  <r>
    <s v="USD881633921/08/202025/08/2020BARCLAYS BANK PLC LONDON105.82123624.8"/>
    <x v="12"/>
    <n v="8816339"/>
    <d v="2020-08-21T00:00:00"/>
    <d v="2020-08-25T00:00:00"/>
    <s v="BARCLAYS BANK PLC LONDON"/>
    <n v="105.821"/>
    <n v="23624.799999999999"/>
    <n v="0"/>
    <s v="Less than 90 days"/>
    <s v=""/>
    <s v=""/>
    <s v=""/>
  </r>
  <r>
    <s v="USD881632921/08/202025/08/2020BARCLAYS BANK PLC LONDON0.91356147773.55"/>
    <x v="12"/>
    <n v="8816329"/>
    <d v="2020-08-21T00:00:00"/>
    <d v="2020-08-25T00:00:00"/>
    <s v="BARCLAYS BANK PLC LONDON"/>
    <n v="0.91356000000000004"/>
    <n v="147773.54999999999"/>
    <n v="0"/>
    <s v="Less than 90 days"/>
    <s v=""/>
    <s v=""/>
    <s v=""/>
  </r>
  <r>
    <s v="USD881381421/08/202024/08/2020BARCLAYS BANK PLC LONDON1.36719109714"/>
    <x v="12"/>
    <n v="8813814"/>
    <d v="2020-08-21T00:00:00"/>
    <d v="2020-08-24T00:00:00"/>
    <s v="BARCLAYS BANK PLC LONDON"/>
    <n v="1.3671899999999999"/>
    <n v="109714"/>
    <n v="0"/>
    <s v="Less than 90 days"/>
    <s v=""/>
    <s v=""/>
    <s v=""/>
  </r>
  <r>
    <s v="USD881609021/08/202024/08/2020ABSA BANK3.6727272279.47"/>
    <x v="12"/>
    <n v="8816090"/>
    <d v="2020-08-21T00:00:00"/>
    <d v="2020-08-24T00:00:00"/>
    <s v="ABSA BANK"/>
    <n v="3.6726999999999999"/>
    <n v="272279.46999999997"/>
    <n v="0"/>
    <s v="Less than 90 days"/>
    <s v=""/>
    <s v=""/>
    <s v=""/>
  </r>
  <r>
    <s v="USD881609121/08/202014/09/2020ABSA BANK3.67309-272250.12"/>
    <x v="12"/>
    <n v="8816091"/>
    <d v="2020-08-21T00:00:00"/>
    <d v="2020-09-14T00:00:00"/>
    <s v="ABSA BANK"/>
    <n v="3.6730900000000002"/>
    <n v="-272250.12"/>
    <n v="0"/>
    <s v="Less than 90 days"/>
    <s v=""/>
    <s v=""/>
    <s v=""/>
  </r>
  <r>
    <s v="USD881382821/08/202024/08/2020JOONAS AND CO LTD39.7993711.93"/>
    <x v="12"/>
    <n v="8813828"/>
    <d v="2020-08-21T00:00:00"/>
    <d v="2020-08-24T00:00:00"/>
    <s v="JOONAS AND CO LTD"/>
    <n v="39.79"/>
    <n v="93711.93"/>
    <n v="0"/>
    <s v="Less than 90 days"/>
    <s v="JOONAS AND CO LTD"/>
    <s v="Kavita Ramruttun"/>
    <s v=""/>
  </r>
  <r>
    <s v="USD849726208/06/202021/09/2020MRC WIRE PRODUCTS LTD40.280000"/>
    <x v="12"/>
    <n v="8497262"/>
    <d v="2020-06-08T00:00:00"/>
    <d v="2020-09-21T00:00:00"/>
    <s v="MRC WIRE PRODUCTS LTD"/>
    <n v="40.200000000000003"/>
    <n v="80000"/>
    <n v="0"/>
    <s v="Less than 90 days"/>
    <s v="MRC WIRE PRODUCTS LTD"/>
    <s v="Christine John Chuan"/>
    <s v=""/>
  </r>
  <r>
    <s v="USD881610321/08/202014/09/2020ABSA BANK1.3712-109393.63"/>
    <x v="12"/>
    <n v="8816103"/>
    <d v="2020-08-21T00:00:00"/>
    <d v="2020-09-14T00:00:00"/>
    <s v="ABSA BANK"/>
    <n v="1.3712"/>
    <n v="-109393.63"/>
    <n v="0"/>
    <s v="Less than 90 days"/>
    <s v=""/>
    <s v=""/>
    <s v=""/>
  </r>
  <r>
    <s v="USD881610221/08/202024/08/2020ABSA BANK1.37058109442.96"/>
    <x v="12"/>
    <n v="8816102"/>
    <d v="2020-08-21T00:00:00"/>
    <d v="2020-08-24T00:00:00"/>
    <s v="ABSA BANK"/>
    <n v="1.3705799999999999"/>
    <n v="109442.96"/>
    <n v="0"/>
    <s v="Less than 90 days"/>
    <s v=""/>
    <s v=""/>
    <s v=""/>
  </r>
  <r>
    <s v="USD881632321/08/202025/08/2020BARCLAYS BANK PLC LONDON1.31029-17033.77"/>
    <x v="12"/>
    <n v="8816323"/>
    <d v="2020-08-21T00:00:00"/>
    <d v="2020-08-25T00:00:00"/>
    <s v="BARCLAYS BANK PLC LONDON"/>
    <n v="1.31029"/>
    <n v="-17033.77"/>
    <n v="0"/>
    <s v="Less than 90 days"/>
    <s v=""/>
    <s v=""/>
    <s v=""/>
  </r>
  <r>
    <s v="USD881526421/08/202015/09/2020IRELAND BLYTH LIMITED39.8402672.19"/>
    <x v="12"/>
    <n v="8815264"/>
    <d v="2020-08-21T00:00:00"/>
    <d v="2020-09-15T00:00:00"/>
    <s v="IRELAND BLYTH LIMITED"/>
    <n v="39.799999999999997"/>
    <n v="402672.19"/>
    <n v="0"/>
    <s v="Less than 90 days"/>
    <s v="IRELAND BLYTH LIMITED"/>
    <s v="Kavita Ramruttun"/>
    <s v=""/>
  </r>
  <r>
    <s v="USD881516321/08/202025/08/2020ABSA BANK1.17855136711.8"/>
    <x v="12"/>
    <n v="8815163"/>
    <d v="2020-08-21T00:00:00"/>
    <d v="2020-08-25T00:00:00"/>
    <s v="ABSA BANK"/>
    <n v="1.17855"/>
    <n v="136711.79999999999"/>
    <n v="0"/>
    <s v="Less than 90 days"/>
    <s v=""/>
    <s v=""/>
    <s v=""/>
  </r>
  <r>
    <s v="USD881502521/08/202025/08/2020BARCLAYS BANK PLC LONDON1.18148-70888.8"/>
    <x v="12"/>
    <n v="8815025"/>
    <d v="2020-08-21T00:00:00"/>
    <d v="2020-08-25T00:00:00"/>
    <s v="BARCLAYS BANK PLC LONDON"/>
    <n v="1.1814800000000001"/>
    <n v="-70888.800000000003"/>
    <n v="0"/>
    <s v="Less than 90 days"/>
    <s v=""/>
    <s v=""/>
    <s v=""/>
  </r>
  <r>
    <s v="USD881446521/08/202025/08/2020BARCLAYS BANK PLC LONDON1.31918-129279.64"/>
    <x v="12"/>
    <n v="8814465"/>
    <d v="2020-08-21T00:00:00"/>
    <d v="2020-08-25T00:00:00"/>
    <s v="BARCLAYS BANK PLC LONDON"/>
    <n v="1.31918"/>
    <n v="-129279.64"/>
    <n v="0"/>
    <s v="Less than 90 days"/>
    <s v=""/>
    <s v=""/>
    <s v=""/>
  </r>
  <r>
    <s v="USD881407321/08/202025/08/2020CITIBANK N.A. LONDON1.18152-2363040"/>
    <x v="12"/>
    <n v="8814073"/>
    <d v="2020-08-21T00:00:00"/>
    <d v="2020-08-25T00:00:00"/>
    <s v="CITIBANK N.A. LONDON"/>
    <n v="1.1815199999999999"/>
    <n v="-2363040"/>
    <n v="0"/>
    <s v="Less than 90 days"/>
    <s v=""/>
    <s v=""/>
    <s v=""/>
  </r>
  <r>
    <s v="USD881406821/08/202025/08/2020CITIBANK N.A. LONDON1.183522367040"/>
    <x v="12"/>
    <n v="8814068"/>
    <d v="2020-08-21T00:00:00"/>
    <d v="2020-08-25T00:00:00"/>
    <s v="CITIBANK N.A. LONDON"/>
    <n v="1.1835199999999999"/>
    <n v="2367040"/>
    <n v="0"/>
    <s v="Less than 90 days"/>
    <s v=""/>
    <s v=""/>
    <s v=""/>
  </r>
  <r>
    <s v="USD881382221/08/202025/08/2020BARCLAYS BANK PLC LONDON1.1844381376.8"/>
    <x v="12"/>
    <n v="8813822"/>
    <d v="2020-08-21T00:00:00"/>
    <d v="2020-08-25T00:00:00"/>
    <s v="BARCLAYS BANK PLC LONDON"/>
    <n v="1.1843999999999999"/>
    <n v="381376.8"/>
    <n v="0"/>
    <s v="Less than 90 days"/>
    <s v=""/>
    <s v=""/>
    <s v=""/>
  </r>
  <r>
    <s v="USD881522521/08/202025/08/2020BARCLAYS BANK PLC LONDON17.262169268.83"/>
    <x v="12"/>
    <n v="8815225"/>
    <d v="2020-08-21T00:00:00"/>
    <d v="2020-08-25T00:00:00"/>
    <s v="BARCLAYS BANK PLC LONDON"/>
    <n v="17.262160000000002"/>
    <n v="9268.83"/>
    <n v="0"/>
    <s v="Less than 90 days"/>
    <s v=""/>
    <s v=""/>
    <s v=""/>
  </r>
  <r>
    <s v="USD881522621/08/202025/08/2020BARCLAYS BANK PLC LONDON1.17927490576.32"/>
    <x v="12"/>
    <n v="8815226"/>
    <d v="2020-08-21T00:00:00"/>
    <d v="2020-08-25T00:00:00"/>
    <s v="BARCLAYS BANK PLC LONDON"/>
    <n v="1.17927"/>
    <n v="490576.32"/>
    <n v="0"/>
    <s v="Less than 90 days"/>
    <s v=""/>
    <s v=""/>
    <s v=""/>
  </r>
  <r>
    <s v="USD881608321/08/202028/08/2020ABSA BANK1.17785-17667735"/>
    <x v="12"/>
    <n v="8816083"/>
    <d v="2020-08-21T00:00:00"/>
    <d v="2020-08-28T00:00:00"/>
    <s v="ABSA BANK"/>
    <n v="1.1778500000000001"/>
    <n v="-17667735"/>
    <n v="0"/>
    <s v="Less than 90 days"/>
    <s v=""/>
    <s v=""/>
    <s v=""/>
  </r>
  <r>
    <s v="USD881376121/08/202025/08/2020Mauritius IBD1.18452369000"/>
    <x v="12"/>
    <n v="8813761"/>
    <d v="2020-08-21T00:00:00"/>
    <d v="2020-08-25T00:00:00"/>
    <s v="Mauritius IBD"/>
    <n v="1.1845000000000001"/>
    <n v="2369000"/>
    <n v="0"/>
    <s v="Less than 90 days"/>
    <s v=""/>
    <s v=""/>
    <s v=""/>
  </r>
  <r>
    <s v="USD881503221/08/202025/08/2020BARCLAYS BANK PLC LONDON105.5985871.32"/>
    <x v="12"/>
    <n v="8815032"/>
    <d v="2020-08-21T00:00:00"/>
    <d v="2020-08-25T00:00:00"/>
    <s v="BARCLAYS BANK PLC LONDON"/>
    <n v="105.598"/>
    <n v="5871.32"/>
    <n v="0"/>
    <s v="Less than 90 days"/>
    <s v=""/>
    <s v=""/>
    <s v=""/>
  </r>
  <r>
    <s v="USD881375321/08/202025/08/2020Mauritius IBD1.18419-2368380"/>
    <x v="12"/>
    <n v="8813753"/>
    <d v="2020-08-21T00:00:00"/>
    <d v="2020-08-25T00:00:00"/>
    <s v="Mauritius IBD"/>
    <n v="1.1841900000000001"/>
    <n v="-2368380"/>
    <n v="0"/>
    <s v="Less than 90 days"/>
    <s v=""/>
    <s v=""/>
    <s v=""/>
  </r>
  <r>
    <s v="USD881374321/08/202025/08/2020CITIBANK N.A. LONDON1.1845-2369000"/>
    <x v="12"/>
    <n v="8813743"/>
    <d v="2020-08-21T00:00:00"/>
    <d v="2020-08-25T00:00:00"/>
    <s v="CITIBANK N.A. LONDON"/>
    <n v="1.1845000000000001"/>
    <n v="-2369000"/>
    <n v="0"/>
    <s v="Less than 90 days"/>
    <s v=""/>
    <s v=""/>
    <s v=""/>
  </r>
  <r>
    <s v="USD881373521/08/202025/08/2020CITIBANK N.A. LONDON1.184192368380"/>
    <x v="12"/>
    <n v="8813735"/>
    <d v="2020-08-21T00:00:00"/>
    <d v="2020-08-25T00:00:00"/>
    <s v="CITIBANK N.A. LONDON"/>
    <n v="1.1841900000000001"/>
    <n v="2368380"/>
    <n v="0"/>
    <s v="Less than 90 days"/>
    <s v=""/>
    <s v=""/>
    <s v=""/>
  </r>
  <r>
    <s v="USD881370121/08/202025/08/2020Mauritius IBD1.1873-1187300"/>
    <x v="12"/>
    <n v="8813701"/>
    <d v="2020-08-21T00:00:00"/>
    <d v="2020-08-25T00:00:00"/>
    <s v="Mauritius IBD"/>
    <n v="1.1873"/>
    <n v="-1187300"/>
    <n v="0"/>
    <s v="Less than 90 days"/>
    <s v=""/>
    <s v=""/>
    <s v=""/>
  </r>
  <r>
    <s v="USD881528121/08/202028/09/2020IRELAND BLYTH LIMITED39.82137046.2"/>
    <x v="12"/>
    <n v="8815281"/>
    <d v="2020-08-21T00:00:00"/>
    <d v="2020-09-28T00:00:00"/>
    <s v="IRELAND BLYTH LIMITED"/>
    <n v="39.82"/>
    <n v="137046.20000000001"/>
    <n v="0"/>
    <s v="Less than 90 days"/>
    <s v="IRELAND BLYTH LIMITED"/>
    <s v="Kavita Ramruttun"/>
    <s v=""/>
  </r>
  <r>
    <s v="USD881357921/08/202025/08/2020ABSA BANK1.18731187300"/>
    <x v="12"/>
    <n v="8813579"/>
    <d v="2020-08-21T00:00:00"/>
    <d v="2020-08-25T00:00:00"/>
    <s v="ABSA BANK"/>
    <n v="1.1873"/>
    <n v="1187300"/>
    <n v="0"/>
    <s v="Less than 90 days"/>
    <s v=""/>
    <s v=""/>
    <s v=""/>
  </r>
  <r>
    <s v="USD881354821/08/202024/08/2020IRELAND BLYTH LIMITED1.1876-475040"/>
    <x v="12"/>
    <n v="8813548"/>
    <d v="2020-08-21T00:00:00"/>
    <d v="2020-08-24T00:00:00"/>
    <s v="IRELAND BLYTH LIMITED"/>
    <n v="1.1876"/>
    <n v="-475040"/>
    <n v="0"/>
    <s v="Less than 90 days"/>
    <s v="IRELAND BLYTH LIMITED"/>
    <s v="Kavita Ramruttun"/>
    <s v=""/>
  </r>
  <r>
    <s v="USD881343921/08/202025/08/2020BARCLAYS BANK PLC LONDON1.18708-118708"/>
    <x v="12"/>
    <n v="8813439"/>
    <d v="2020-08-21T00:00:00"/>
    <d v="2020-08-25T00:00:00"/>
    <s v="BARCLAYS BANK PLC LONDON"/>
    <n v="1.1870799999999999"/>
    <n v="-118708"/>
    <n v="0"/>
    <s v="Less than 90 days"/>
    <s v=""/>
    <s v=""/>
    <s v=""/>
  </r>
  <r>
    <s v="USD881332021/08/202025/08/2020BARCLAYS BANK PLC LONDON1.32358-66179"/>
    <x v="12"/>
    <n v="8813320"/>
    <d v="2020-08-21T00:00:00"/>
    <d v="2020-08-25T00:00:00"/>
    <s v="BARCLAYS BANK PLC LONDON"/>
    <n v="1.32358"/>
    <n v="-66179"/>
    <n v="0"/>
    <s v="Less than 90 days"/>
    <s v=""/>
    <s v=""/>
    <s v=""/>
  </r>
  <r>
    <s v="USD881543021/08/202025/08/2020MEADERS FEEDS LTD39.80591500000"/>
    <x v="12"/>
    <n v="8815430"/>
    <d v="2020-08-21T00:00:00"/>
    <d v="2020-08-25T00:00:00"/>
    <s v="MEADERS FEEDS LTD"/>
    <n v="39.805900000000001"/>
    <n v="1500000"/>
    <n v="0"/>
    <s v="Less than 90 days"/>
    <s v="MEADERS FEEDS LTD"/>
    <s v="Christine John Chuan"/>
    <s v=""/>
  </r>
  <r>
    <s v="USD881502721/08/202024/08/2020BARCLAYS BANK PLC LONDON1.319230321.41"/>
    <x v="12"/>
    <n v="8815027"/>
    <d v="2020-08-21T00:00:00"/>
    <d v="2020-08-24T00:00:00"/>
    <s v="BARCLAYS BANK PLC LONDON"/>
    <n v="1.3191999999999999"/>
    <n v="30321.41"/>
    <n v="0"/>
    <s v="Less than 90 days"/>
    <s v=""/>
    <s v=""/>
    <s v=""/>
  </r>
  <r>
    <s v="USD881631721/08/202025/08/2020BARCLAYS BANK PLC LONDON1.17603-79970.04"/>
    <x v="12"/>
    <n v="8816317"/>
    <d v="2020-08-21T00:00:00"/>
    <d v="2020-08-25T00:00:00"/>
    <s v="BARCLAYS BANK PLC LONDON"/>
    <n v="1.1760299999999999"/>
    <n v="-79970.039999999994"/>
    <n v="0"/>
    <s v="Less than 90 days"/>
    <s v=""/>
    <s v=""/>
    <s v=""/>
  </r>
  <r>
    <s v="USD881524321/08/202008/09/2020IRELAND BLYTH LIMITED39.795154721.03"/>
    <x v="12"/>
    <n v="8815243"/>
    <d v="2020-08-21T00:00:00"/>
    <d v="2020-09-08T00:00:00"/>
    <s v="IRELAND BLYTH LIMITED"/>
    <n v="39.795000000000002"/>
    <n v="154721.03"/>
    <n v="0"/>
    <s v="Less than 90 days"/>
    <s v="IRELAND BLYTH LIMITED"/>
    <s v="Kavita Ramruttun"/>
    <s v=""/>
  </r>
  <r>
    <s v="USD880281819/08/202026/08/2020ABSA BANK39.70071259423.64"/>
    <x v="12"/>
    <n v="8802818"/>
    <d v="2020-08-19T00:00:00"/>
    <d v="2020-08-26T00:00:00"/>
    <s v="ABSA BANK"/>
    <n v="39.700699999999998"/>
    <n v="1259423.6399999999"/>
    <n v="0"/>
    <s v="Less than 90 days"/>
    <s v=""/>
    <s v=""/>
    <s v=""/>
  </r>
  <r>
    <s v="USD879746318/08/202011/09/2020MAURITIUS SUGAR SYNDICATE1.1892594600"/>
    <x v="12"/>
    <n v="8797463"/>
    <d v="2020-08-18T00:00:00"/>
    <d v="2020-09-11T00:00:00"/>
    <s v="MAURITIUS SUGAR SYNDICATE"/>
    <n v="1.1892"/>
    <n v="594600"/>
    <n v="0"/>
    <s v="Less than 90 days"/>
    <s v="MAURITIUS SUGAR SYNDICATE"/>
    <s v="C Yue Chi Ming"/>
    <s v=""/>
  </r>
  <r>
    <s v="USD880046518/08/202025/08/2020ABSA BANK1.19439-27470993"/>
    <x v="12"/>
    <n v="8800465"/>
    <d v="2020-08-18T00:00:00"/>
    <d v="2020-08-25T00:00:00"/>
    <s v="ABSA BANK"/>
    <n v="1.1943900000000001"/>
    <n v="-27470993"/>
    <n v="0"/>
    <s v="Less than 90 days"/>
    <s v=""/>
    <s v=""/>
    <s v=""/>
  </r>
  <r>
    <s v="USD879781718/08/202011/03/2021LAFARGE39.8720000"/>
    <x v="12"/>
    <n v="8797817"/>
    <d v="2020-08-18T00:00:00"/>
    <d v="2021-03-11T00:00:00"/>
    <s v="LAFARGE"/>
    <n v="39.799999999999997"/>
    <n v="720000"/>
    <n v="0"/>
    <s v="Less than 90 days"/>
    <s v="LAFARGE"/>
    <s v="Rajen Manikion"/>
    <s v=""/>
  </r>
  <r>
    <s v="USD881183020/08/202024/08/2020BARCLAYS BANK PLC LONDON17.324644617.7"/>
    <x v="12"/>
    <n v="8811830"/>
    <d v="2020-08-20T00:00:00"/>
    <d v="2020-08-24T00:00:00"/>
    <s v="BARCLAYS BANK PLC LONDON"/>
    <n v="17.324639999999999"/>
    <n v="4617.7"/>
    <n v="0"/>
    <s v="Less than 90 days"/>
    <s v=""/>
    <s v=""/>
    <s v=""/>
  </r>
  <r>
    <s v="USD879276817/08/202012/01/2021LAFARGE39.8720000"/>
    <x v="12"/>
    <n v="8792768"/>
    <d v="2020-08-17T00:00:00"/>
    <d v="2021-01-12T00:00:00"/>
    <s v="LAFARGE"/>
    <n v="39.799999999999997"/>
    <n v="720000"/>
    <n v="0"/>
    <s v="Less than 90 days"/>
    <s v="LAFARGE"/>
    <s v="Rajen Manikion"/>
    <s v=""/>
  </r>
  <r>
    <s v="USD881174720/08/202024/08/2020Mauritius IBD17.27583-1000000"/>
    <x v="12"/>
    <n v="8811747"/>
    <d v="2020-08-20T00:00:00"/>
    <d v="2020-08-24T00:00:00"/>
    <s v="Mauritius IBD"/>
    <n v="17.275829999999999"/>
    <n v="-1000000"/>
    <n v="0"/>
    <s v="Less than 90 days"/>
    <s v=""/>
    <s v=""/>
    <s v=""/>
  </r>
  <r>
    <s v="USD879429817/08/202024/03/2021DUCRAY LENOIR LIMITED40.1608279"/>
    <x v="12"/>
    <n v="8794298"/>
    <d v="2020-08-17T00:00:00"/>
    <d v="2021-03-24T00:00:00"/>
    <s v="DUCRAY LENOIR LIMITED"/>
    <n v="40.1"/>
    <n v="608279"/>
    <n v="0"/>
    <s v="Less than 90 days"/>
    <s v="DUCRAY LENOIR LIMITED"/>
    <s v="Jaimie Purmah"/>
    <s v=""/>
  </r>
  <r>
    <s v="USD879432617/08/202011/02/2021LAFARGE39.8720000"/>
    <x v="12"/>
    <n v="8794326"/>
    <d v="2020-08-17T00:00:00"/>
    <d v="2021-02-11T00:00:00"/>
    <s v="LAFARGE"/>
    <n v="39.799999999999997"/>
    <n v="720000"/>
    <n v="0"/>
    <s v="Less than 90 days"/>
    <s v="LAFARGE"/>
    <s v="Rajen Manikion"/>
    <s v=""/>
  </r>
  <r>
    <s v="USD879510817/08/202024/08/2020ABSA BANK39.70071511308.36"/>
    <x v="12"/>
    <n v="8795108"/>
    <d v="2020-08-17T00:00:00"/>
    <d v="2020-08-24T00:00:00"/>
    <s v="ABSA BANK"/>
    <n v="39.700699999999998"/>
    <n v="1511308.36"/>
    <n v="0"/>
    <s v="Less than 90 days"/>
    <s v=""/>
    <s v=""/>
    <s v=""/>
  </r>
  <r>
    <s v="USD878996814/08/202024/08/2020ABSA BANK3.67279-272272.43"/>
    <x v="12"/>
    <n v="8789968"/>
    <d v="2020-08-14T00:00:00"/>
    <d v="2020-08-24T00:00:00"/>
    <s v="ABSA BANK"/>
    <n v="3.67279"/>
    <n v="-272272.43"/>
    <n v="0"/>
    <s v="Less than 90 days"/>
    <s v=""/>
    <s v=""/>
    <s v=""/>
  </r>
  <r>
    <s v="USD848749804/06/202012/10/2020TIANLI SPINNING (MAURITIUS) CO LTD39.7-400000"/>
    <x v="12"/>
    <n v="8487498"/>
    <d v="2020-06-04T00:00:00"/>
    <d v="2020-10-12T00:00:00"/>
    <s v="TIANLI SPINNING (MAURITIUS) CO LTD"/>
    <n v="39.700000000000003"/>
    <n v="-400000"/>
    <n v="0"/>
    <s v="Less than 90 days"/>
    <s v=""/>
    <s v=""/>
    <s v=""/>
  </r>
  <r>
    <s v="USD876433011/08/202011/09/2020JOONAS AND CO LTD39.98200000"/>
    <x v="12"/>
    <n v="8764330"/>
    <d v="2020-08-11T00:00:00"/>
    <d v="2020-09-11T00:00:00"/>
    <s v="JOONAS AND CO LTD"/>
    <n v="39.979999999999997"/>
    <n v="200000"/>
    <n v="0"/>
    <s v="Less than 90 days"/>
    <s v="JOONAS AND CO LTD"/>
    <s v="Kavita Ramruttun"/>
    <s v=""/>
  </r>
  <r>
    <s v="USD790630920/01/202009/12/2020LAFARGE36.83400000"/>
    <x v="12"/>
    <n v="7906309"/>
    <d v="2020-01-20T00:00:00"/>
    <d v="2020-12-09T00:00:00"/>
    <s v="LAFARGE"/>
    <n v="36.83"/>
    <n v="400000"/>
    <n v="0"/>
    <s v="Less than 90 days"/>
    <s v="LAFARGE"/>
    <s v="Rajen Manikion"/>
    <s v=""/>
  </r>
  <r>
    <s v="USD876547511/08/202002/09/2020MAURITIUS OIL REFINERIES LTD39.94500000"/>
    <x v="12"/>
    <n v="8765475"/>
    <d v="2020-08-11T00:00:00"/>
    <d v="2020-09-02T00:00:00"/>
    <s v="MAURITIUS OIL REFINERIES LTD"/>
    <n v="39.94"/>
    <n v="500000"/>
    <n v="0"/>
    <s v="Less than 90 days"/>
    <s v="MAURITIUS OIL REFINERIES LTD"/>
    <s v="Christine John Chuan"/>
    <s v=""/>
  </r>
  <r>
    <s v="USD876681611/08/202026/08/2020BARCLAYS BANK PLC LONDON7.75053-129023.42"/>
    <x v="12"/>
    <n v="8766816"/>
    <d v="2020-08-11T00:00:00"/>
    <d v="2020-08-26T00:00:00"/>
    <s v="BARCLAYS BANK PLC LONDON"/>
    <n v="7.7505300000000004"/>
    <n v="-129023.42"/>
    <n v="0"/>
    <s v="Less than 90 days"/>
    <s v=""/>
    <s v=""/>
    <s v=""/>
  </r>
  <r>
    <s v="USD879964218/08/202003/09/2020OMNICANE LIMITED39.8174556574"/>
    <x v="12"/>
    <n v="8799642"/>
    <d v="2020-08-18T00:00:00"/>
    <d v="2020-09-03T00:00:00"/>
    <s v="OMNICANE LIMITED"/>
    <n v="39.817399999999999"/>
    <n v="556574"/>
    <n v="0"/>
    <s v="Less than 90 days"/>
    <s v="OMNICANE LIMITED"/>
    <s v="C Yue Chi Ming"/>
    <s v=""/>
  </r>
  <r>
    <s v="USD880958220/08/202024/08/2020IRELAND BLYTH LIMITED39.8044900000"/>
    <x v="12"/>
    <n v="8809582"/>
    <d v="2020-08-20T00:00:00"/>
    <d v="2020-08-24T00:00:00"/>
    <s v="IRELAND BLYTH LIMITED"/>
    <n v="39.804400000000001"/>
    <n v="900000"/>
    <n v="0"/>
    <s v="Less than 90 days"/>
    <s v="IRELAND BLYTH LIMITED"/>
    <s v="Kavita Ramruttun"/>
    <s v=""/>
  </r>
  <r>
    <s v="USD880896120/08/202024/08/2020BARCLAYS BANK PLC LONDON1.1853237060"/>
    <x v="12"/>
    <n v="8808961"/>
    <d v="2020-08-20T00:00:00"/>
    <d v="2020-08-24T00:00:00"/>
    <s v="BARCLAYS BANK PLC LONDON"/>
    <n v="1.1853"/>
    <n v="237060"/>
    <n v="0"/>
    <s v="Less than 90 days"/>
    <s v=""/>
    <s v=""/>
    <s v=""/>
  </r>
  <r>
    <s v="USD880906720/08/202024/08/2020BARCLAYS BANK PLC LONDON1.1824-236480"/>
    <x v="12"/>
    <n v="8809067"/>
    <d v="2020-08-20T00:00:00"/>
    <d v="2020-08-24T00:00:00"/>
    <s v="BARCLAYS BANK PLC LONDON"/>
    <n v="1.1823999999999999"/>
    <n v="-236480"/>
    <n v="0"/>
    <s v="Less than 90 days"/>
    <s v=""/>
    <s v=""/>
    <s v=""/>
  </r>
  <r>
    <s v="USD880909720/08/202024/08/2020Mauritius IBD1.1826473040"/>
    <x v="12"/>
    <n v="8809097"/>
    <d v="2020-08-20T00:00:00"/>
    <d v="2020-08-24T00:00:00"/>
    <s v="Mauritius IBD"/>
    <n v="1.1826000000000001"/>
    <n v="473040"/>
    <n v="0"/>
    <s v="Less than 90 days"/>
    <s v=""/>
    <s v=""/>
    <s v=""/>
  </r>
  <r>
    <s v="USD880909820/08/202024/08/2020CITIBANK N.A. LONDON1.1855-2371000"/>
    <x v="12"/>
    <n v="8809098"/>
    <d v="2020-08-20T00:00:00"/>
    <d v="2020-08-24T00:00:00"/>
    <s v="CITIBANK N.A. LONDON"/>
    <n v="1.1855"/>
    <n v="-2371000"/>
    <n v="0"/>
    <s v="Less than 90 days"/>
    <s v=""/>
    <s v=""/>
    <s v=""/>
  </r>
  <r>
    <s v="USD880910320/08/202024/08/2020BARCLAYS BANK PLC LONDON1.3074745761.45"/>
    <x v="12"/>
    <n v="8809103"/>
    <d v="2020-08-20T00:00:00"/>
    <d v="2020-08-24T00:00:00"/>
    <s v="BARCLAYS BANK PLC LONDON"/>
    <n v="1.3074699999999999"/>
    <n v="45761.45"/>
    <n v="0"/>
    <s v="Less than 90 days"/>
    <s v=""/>
    <s v=""/>
    <s v=""/>
  </r>
  <r>
    <s v="USD880916820/08/202024/08/2020BARCLAYS BANK PLC LONDON1.18169108715.48"/>
    <x v="12"/>
    <n v="8809168"/>
    <d v="2020-08-20T00:00:00"/>
    <d v="2020-08-24T00:00:00"/>
    <s v="BARCLAYS BANK PLC LONDON"/>
    <n v="1.1816899999999999"/>
    <n v="108715.48"/>
    <n v="0"/>
    <s v="Less than 90 days"/>
    <s v=""/>
    <s v=""/>
    <s v=""/>
  </r>
  <r>
    <s v="USD880922020/08/202024/08/2020CITIBANK N.A. LONDON1.182692365380"/>
    <x v="12"/>
    <n v="8809220"/>
    <d v="2020-08-20T00:00:00"/>
    <d v="2020-08-24T00:00:00"/>
    <s v="CITIBANK N.A. LONDON"/>
    <n v="1.18269"/>
    <n v="2365380"/>
    <n v="0"/>
    <s v="Less than 90 days"/>
    <s v=""/>
    <s v=""/>
    <s v=""/>
  </r>
  <r>
    <s v="USD881111120/08/202024/08/2020BARCLAYS BANK PLC LONDON0.716081432.16"/>
    <x v="12"/>
    <n v="8811111"/>
    <d v="2020-08-20T00:00:00"/>
    <d v="2020-08-24T00:00:00"/>
    <s v="BARCLAYS BANK PLC LONDON"/>
    <n v="0.71608000000000005"/>
    <n v="1432.16"/>
    <n v="0"/>
    <s v="Less than 90 days"/>
    <s v=""/>
    <s v=""/>
    <s v=""/>
  </r>
  <r>
    <s v="USD881112820/08/202024/08/2020BARCLAYS BANK PLC LONDON1.18483-82938.1"/>
    <x v="12"/>
    <n v="8811128"/>
    <d v="2020-08-20T00:00:00"/>
    <d v="2020-08-24T00:00:00"/>
    <s v="BARCLAYS BANK PLC LONDON"/>
    <n v="1.18483"/>
    <n v="-82938.100000000006"/>
    <n v="0"/>
    <s v="Less than 90 days"/>
    <s v=""/>
    <s v=""/>
    <s v=""/>
  </r>
  <r>
    <s v="USD881113220/08/202024/08/2020BARCLAYS BANK PLC LONDON1.3143613143.6"/>
    <x v="12"/>
    <n v="8811132"/>
    <d v="2020-08-20T00:00:00"/>
    <d v="2020-08-24T00:00:00"/>
    <s v="BARCLAYS BANK PLC LONDON"/>
    <n v="1.31436"/>
    <n v="13143.6"/>
    <n v="0"/>
    <s v="Less than 90 days"/>
    <s v=""/>
    <s v=""/>
    <s v=""/>
  </r>
  <r>
    <s v="USD881128620/08/202024/08/2020BARCLAYS BANK PLC LONDON0.715964295.76"/>
    <x v="12"/>
    <n v="8811286"/>
    <d v="2020-08-20T00:00:00"/>
    <d v="2020-08-24T00:00:00"/>
    <s v="BARCLAYS BANK PLC LONDON"/>
    <n v="0.71596000000000004"/>
    <n v="4295.76"/>
    <n v="0"/>
    <s v="Less than 90 days"/>
    <s v=""/>
    <s v=""/>
    <s v=""/>
  </r>
  <r>
    <s v="USD881176220/08/202024/08/2020Mauritius IBD1.18552371000"/>
    <x v="12"/>
    <n v="8811762"/>
    <d v="2020-08-20T00:00:00"/>
    <d v="2020-08-24T00:00:00"/>
    <s v="Mauritius IBD"/>
    <n v="1.1855"/>
    <n v="2371000"/>
    <n v="0"/>
    <s v="Less than 90 days"/>
    <s v=""/>
    <s v=""/>
    <s v=""/>
  </r>
  <r>
    <s v="USD880200119/08/202011/09/2020MAURITIUS SUGAR SYNDICATE1.1941597050"/>
    <x v="12"/>
    <n v="8802001"/>
    <d v="2020-08-19T00:00:00"/>
    <d v="2020-09-11T00:00:00"/>
    <s v="MAURITIUS SUGAR SYNDICATE"/>
    <n v="1.1940999999999999"/>
    <n v="597050"/>
    <n v="0"/>
    <s v="Less than 90 days"/>
    <s v="MAURITIUS SUGAR SYNDICATE"/>
    <s v="C Yue Chi Ming"/>
    <s v=""/>
  </r>
  <r>
    <s v="USD880910520/08/202024/08/2020BARCLAYS BANK PLC LONDON17.3224225400.61"/>
    <x v="12"/>
    <n v="8809105"/>
    <d v="2020-08-20T00:00:00"/>
    <d v="2020-08-24T00:00:00"/>
    <s v="BARCLAYS BANK PLC LONDON"/>
    <n v="17.322420000000001"/>
    <n v="25400.61"/>
    <n v="0"/>
    <s v="Less than 90 days"/>
    <s v=""/>
    <s v=""/>
    <s v=""/>
  </r>
  <r>
    <s v="USD876478211/08/202025/08/2020IRELAND BLYTH LIMITED39.91612350000"/>
    <x v="12"/>
    <n v="8764782"/>
    <d v="2020-08-11T00:00:00"/>
    <d v="2020-08-25T00:00:00"/>
    <s v="IRELAND BLYTH LIMITED"/>
    <n v="39.9161"/>
    <n v="2350000"/>
    <n v="0"/>
    <s v="Less than 90 days"/>
    <s v="IRELAND BLYTH LIMITED"/>
    <s v="Kavita Ramruttun"/>
    <s v=""/>
  </r>
  <r>
    <s v="USD881029920/08/202024/08/2020OMNICANE LIMITED39.81000000"/>
    <x v="12"/>
    <n v="8810299"/>
    <d v="2020-08-20T00:00:00"/>
    <d v="2020-08-24T00:00:00"/>
    <s v="OMNICANE LIMITED"/>
    <n v="39.799999999999997"/>
    <n v="1000000"/>
    <n v="0"/>
    <s v="Less than 90 days"/>
    <s v="OMNICANE LIMITED"/>
    <s v="C Yue Chi Ming"/>
    <s v=""/>
  </r>
  <r>
    <s v="USD881046020/08/202024/08/2020KOLOS CEMENT LIMITED39.79124800"/>
    <x v="12"/>
    <n v="8810460"/>
    <d v="2020-08-20T00:00:00"/>
    <d v="2020-08-24T00:00:00"/>
    <s v="KOLOS CEMENT LIMITED"/>
    <n v="39.79"/>
    <n v="124800"/>
    <n v="0"/>
    <s v="Less than 90 days"/>
    <s v=""/>
    <s v=""/>
    <s v=""/>
  </r>
  <r>
    <s v="USD881047720/08/202024/08/2020KOLOS CEMENT LIMITED39.7956876.43"/>
    <x v="12"/>
    <n v="8810477"/>
    <d v="2020-08-20T00:00:00"/>
    <d v="2020-08-24T00:00:00"/>
    <s v="KOLOS CEMENT LIMITED"/>
    <n v="39.79"/>
    <n v="56876.43"/>
    <n v="0"/>
    <s v="Less than 90 days"/>
    <s v=""/>
    <s v=""/>
    <s v=""/>
  </r>
  <r>
    <s v="USD881093620/08/202024/08/2020ABSA BANK17.1971000000"/>
    <x v="12"/>
    <n v="8810936"/>
    <d v="2020-08-20T00:00:00"/>
    <d v="2020-08-24T00:00:00"/>
    <s v="ABSA BANK"/>
    <n v="17.196999999999999"/>
    <n v="1000000"/>
    <n v="0"/>
    <s v="Less than 90 days"/>
    <s v=""/>
    <s v=""/>
    <s v=""/>
  </r>
  <r>
    <s v="USD881096520/08/202024/08/2020GAMMA CONSTRUCTION LTD39.7937808.9"/>
    <x v="12"/>
    <n v="8810965"/>
    <d v="2020-08-20T00:00:00"/>
    <d v="2020-08-24T00:00:00"/>
    <s v="GAMMA CONSTRUCTION LTD"/>
    <n v="39.79"/>
    <n v="37808.9"/>
    <n v="0"/>
    <s v="Less than 90 days"/>
    <s v="GAMMA CONSTRUCTION LTD"/>
    <s v="Rajen Manikion"/>
    <s v=""/>
  </r>
  <r>
    <s v="USD881111920/08/202024/08/2020BARCLAYS BANK PLC LONDON8.74219-3431.63"/>
    <x v="12"/>
    <n v="8811119"/>
    <d v="2020-08-20T00:00:00"/>
    <d v="2020-08-24T00:00:00"/>
    <s v="BARCLAYS BANK PLC LONDON"/>
    <n v="8.7421900000000008"/>
    <n v="-3431.63"/>
    <n v="0"/>
    <s v="Less than 90 days"/>
    <s v=""/>
    <s v=""/>
    <s v=""/>
  </r>
  <r>
    <s v="USD881128220/08/202024/08/2020BARCLAYS BANK PLC LONDON7.750151677.39"/>
    <x v="12"/>
    <n v="8811282"/>
    <d v="2020-08-20T00:00:00"/>
    <d v="2020-08-24T00:00:00"/>
    <s v="BARCLAYS BANK PLC LONDON"/>
    <n v="7.7501499999999997"/>
    <n v="1677.39"/>
    <n v="0"/>
    <s v="Less than 90 days"/>
    <s v=""/>
    <s v=""/>
    <s v=""/>
  </r>
  <r>
    <s v="USD881176420/08/202024/08/2020Mauritius IBD1.18269-2365380"/>
    <x v="12"/>
    <n v="8811764"/>
    <d v="2020-08-20T00:00:00"/>
    <d v="2020-08-24T00:00:00"/>
    <s v="Mauritius IBD"/>
    <n v="1.18269"/>
    <n v="-2365380"/>
    <n v="0"/>
    <s v="Less than 90 days"/>
    <s v=""/>
    <s v=""/>
    <s v=""/>
  </r>
  <r>
    <s v="USD805571526/02/202005/10/2020AZUR FINANCIAL SERVICES LTD37.77500000"/>
    <x v="12"/>
    <n v="8055715"/>
    <d v="2020-02-26T00:00:00"/>
    <d v="2020-10-05T00:00:00"/>
    <s v="AZUR FINANCIAL SERVICES LTD"/>
    <n v="37.770000000000003"/>
    <n v="500000"/>
    <n v="0"/>
    <s v="Less than 90 days"/>
    <s v=""/>
    <s v=""/>
    <s v=""/>
  </r>
  <r>
    <s v="USD848747404/06/202010/09/2020TIANLI SPINNING (MAURITIUS) CO LTD39.75-400000"/>
    <x v="12"/>
    <n v="8487474"/>
    <d v="2020-06-04T00:00:00"/>
    <d v="2020-09-10T00:00:00"/>
    <s v="TIANLI SPINNING (MAURITIUS) CO LTD"/>
    <n v="39.75"/>
    <n v="-400000"/>
    <n v="0"/>
    <s v="Less than 90 days"/>
    <s v=""/>
    <s v=""/>
    <s v=""/>
  </r>
  <r>
    <s v="USD876004510/08/202010/09/2020MAURITIUS SUGAR SYNDICATE39.96251000000"/>
    <x v="12"/>
    <n v="8760045"/>
    <d v="2020-08-10T00:00:00"/>
    <d v="2020-09-10T00:00:00"/>
    <s v="MAURITIUS SUGAR SYNDICATE"/>
    <n v="39.962499999999999"/>
    <n v="1000000"/>
    <n v="0"/>
    <s v="Less than 90 days"/>
    <s v="MAURITIUS SUGAR SYNDICATE"/>
    <s v="C Yue Chi Ming"/>
    <s v=""/>
  </r>
  <r>
    <s v="USD842985126/05/202025/08/2020GAMMA CONSTRUCTION LTD39.9975-272000"/>
    <x v="12"/>
    <n v="8429851"/>
    <d v="2020-05-26T00:00:00"/>
    <d v="2020-08-25T00:00:00"/>
    <s v="GAMMA CONSTRUCTION LTD"/>
    <n v="39.997500000000002"/>
    <n v="-272000"/>
    <n v="0"/>
    <s v="Less than 90 days"/>
    <s v="GAMMA CONSTRUCTION LTD"/>
    <s v="Rajen Manikion"/>
    <s v=""/>
  </r>
  <r>
    <s v="USD878365813/08/202005/11/2020LIVESTOCK FEED LTD39.791000000"/>
    <x v="12"/>
    <n v="8783658"/>
    <d v="2020-08-13T00:00:00"/>
    <d v="2020-11-05T00:00:00"/>
    <s v="LIVESTOCK FEED LTD"/>
    <n v="39.79"/>
    <n v="1000000"/>
    <n v="0"/>
    <s v="Less than 90 days"/>
    <s v="LIVESTOCK FEED LTD"/>
    <s v="Christine John Chuan"/>
    <s v=""/>
  </r>
  <r>
    <s v="USD843061926/05/202025/08/2020BANK OF MAURITIUS40.0999272000"/>
    <x v="12"/>
    <n v="8430619"/>
    <d v="2020-05-26T00:00:00"/>
    <d v="2020-08-25T00:00:00"/>
    <s v="BANK OF MAURITIUS"/>
    <n v="40.099899999999998"/>
    <n v="272000"/>
    <n v="0"/>
    <s v="Less than 90 days"/>
    <s v=""/>
    <s v=""/>
    <s v=""/>
  </r>
  <r>
    <s v="USD818083019/03/202015/10/2020MAURITIUS SUGAR SYNDICATE39.65-500000"/>
    <x v="12"/>
    <n v="8180830"/>
    <d v="2020-03-19T00:00:00"/>
    <d v="2020-10-15T00:00:00"/>
    <s v="MAURITIUS SUGAR SYNDICATE"/>
    <n v="39.65"/>
    <n v="-500000"/>
    <n v="0"/>
    <s v="Less than 90 days"/>
    <s v="MAURITIUS SUGAR SYNDICATE"/>
    <s v="C Yue Chi Ming"/>
    <s v=""/>
  </r>
  <r>
    <s v="USD815244413/03/202003/12/2020ESQUEL (MAURITIUS) LTD38-500000"/>
    <x v="12"/>
    <n v="8152444"/>
    <d v="2020-03-13T00:00:00"/>
    <d v="2020-12-03T00:00:00"/>
    <s v="ESQUEL (MAURITIUS) LTD"/>
    <n v="38"/>
    <n v="-500000"/>
    <n v="0"/>
    <s v="Less than 90 days"/>
    <s v="ESQUEL (MAURITIUS) LTD"/>
    <s v="Rajendranath Sham"/>
    <s v=""/>
  </r>
  <r>
    <s v="USD815245913/03/202009/12/2020ESQUEL (MAURITIUS) LTD38-500000"/>
    <x v="12"/>
    <n v="8152459"/>
    <d v="2020-03-13T00:00:00"/>
    <d v="2020-12-09T00:00:00"/>
    <s v="ESQUEL (MAURITIUS) LTD"/>
    <n v="38"/>
    <n v="-500000"/>
    <n v="0"/>
    <s v="Less than 90 days"/>
    <s v="ESQUEL (MAURITIUS) LTD"/>
    <s v="Rajendranath Sham"/>
    <s v=""/>
  </r>
  <r>
    <s v="USD813364611/03/202018/09/2020MAURITIUS SUGAR SYNDICATE37.7-1000000"/>
    <x v="12"/>
    <n v="8133646"/>
    <d v="2020-03-11T00:00:00"/>
    <d v="2020-09-18T00:00:00"/>
    <s v="MAURITIUS SUGAR SYNDICATE"/>
    <n v="37.700000000000003"/>
    <n v="-1000000"/>
    <n v="0"/>
    <s v="Less than 90 days"/>
    <s v="MAURITIUS SUGAR SYNDICATE"/>
    <s v="C Yue Chi Ming"/>
    <s v=""/>
  </r>
  <r>
    <s v="USD807905802/03/202007/10/2020AZUR FINANCIAL SERVICES LTD37.55500000"/>
    <x v="12"/>
    <n v="8079058"/>
    <d v="2020-03-02T00:00:00"/>
    <d v="2020-10-07T00:00:00"/>
    <s v="AZUR FINANCIAL SERVICES LTD"/>
    <n v="37.549999999999997"/>
    <n v="500000"/>
    <n v="0"/>
    <s v="Less than 90 days"/>
    <s v=""/>
    <s v=""/>
    <s v=""/>
  </r>
  <r>
    <s v="USD807922602/03/202007/10/2020AZUR FINANCIAL SERVICES LTD37.55500000"/>
    <x v="12"/>
    <n v="8079226"/>
    <d v="2020-03-02T00:00:00"/>
    <d v="2020-10-07T00:00:00"/>
    <s v="AZUR FINANCIAL SERVICES LTD"/>
    <n v="37.549999999999997"/>
    <n v="500000"/>
    <n v="0"/>
    <s v="Less than 90 days"/>
    <s v=""/>
    <s v=""/>
    <s v=""/>
  </r>
  <r>
    <s v="USD807221428/02/202006/10/2020AZUR FINANCIAL SERVICES LTD37.61500000"/>
    <x v="12"/>
    <n v="8072214"/>
    <d v="2020-02-28T00:00:00"/>
    <d v="2020-10-06T00:00:00"/>
    <s v="AZUR FINANCIAL SERVICES LTD"/>
    <n v="37.61"/>
    <n v="500000"/>
    <n v="0"/>
    <s v="Less than 90 days"/>
    <s v=""/>
    <s v=""/>
    <s v=""/>
  </r>
  <r>
    <s v="USD880894020/08/202024/08/2020BARCLAYS BANK PLC LONDON1.1851687701.84"/>
    <x v="12"/>
    <n v="8808940"/>
    <d v="2020-08-20T00:00:00"/>
    <d v="2020-08-24T00:00:00"/>
    <s v="BARCLAYS BANK PLC LONDON"/>
    <n v="1.18516"/>
    <n v="87701.84"/>
    <n v="0"/>
    <s v="Less than 90 days"/>
    <s v=""/>
    <s v=""/>
    <s v=""/>
  </r>
  <r>
    <s v="USD798720010/02/202015/01/2021ABSA BANK1.116961000000"/>
    <x v="12"/>
    <n v="7987200"/>
    <d v="2020-02-10T00:00:00"/>
    <d v="2021-01-15T00:00:00"/>
    <s v="ABSA BANK"/>
    <n v="1.11696"/>
    <n v="1000000"/>
    <n v="0"/>
    <s v="Less than 90 days"/>
    <s v=""/>
    <s v=""/>
    <s v=""/>
  </r>
  <r>
    <s v="USD790629720/01/202009/11/2020LAFARGE36.8400000"/>
    <x v="12"/>
    <n v="7906297"/>
    <d v="2020-01-20T00:00:00"/>
    <d v="2020-11-09T00:00:00"/>
    <s v="LAFARGE"/>
    <n v="36.799999999999997"/>
    <n v="400000"/>
    <n v="0"/>
    <s v="Less than 90 days"/>
    <s v="LAFARGE"/>
    <s v="Rajen Manikion"/>
    <s v=""/>
  </r>
  <r>
    <s v="USD790628520/01/202009/10/2020LAFARGE36.8400000"/>
    <x v="12"/>
    <n v="7906285"/>
    <d v="2020-01-20T00:00:00"/>
    <d v="2020-10-09T00:00:00"/>
    <s v="LAFARGE"/>
    <n v="36.799999999999997"/>
    <n v="400000"/>
    <n v="0"/>
    <s v="Less than 90 days"/>
    <s v="LAFARGE"/>
    <s v="Rajen Manikion"/>
    <s v=""/>
  </r>
  <r>
    <s v="USD790626420/01/202014/09/2020LAFARGE36.8700000"/>
    <x v="12"/>
    <n v="7906264"/>
    <d v="2020-01-20T00:00:00"/>
    <d v="2020-09-14T00:00:00"/>
    <s v="LAFARGE"/>
    <n v="36.799999999999997"/>
    <n v="700000"/>
    <n v="0"/>
    <s v="Less than 90 days"/>
    <s v="LAFARGE"/>
    <s v="Rajen Manikion"/>
    <s v=""/>
  </r>
  <r>
    <s v="USD792561324/01/202003/09/2020ESQUEL (MAURITIUS) LTD36.65-1000000"/>
    <x v="12"/>
    <n v="7925613"/>
    <d v="2020-01-24T00:00:00"/>
    <d v="2020-09-03T00:00:00"/>
    <s v="ESQUEL (MAURITIUS) LTD"/>
    <n v="36.65"/>
    <n v="-1000000"/>
    <n v="0"/>
    <s v="Less than 90 days"/>
    <s v="ESQUEL (MAURITIUS) LTD"/>
    <s v="Rajendranath Sham"/>
    <s v=""/>
  </r>
  <r>
    <s v="USD797973407/02/202003/09/2020ESQUEL (MAURITIUS) LTD36.85-500000"/>
    <x v="12"/>
    <n v="7979734"/>
    <d v="2020-02-07T00:00:00"/>
    <d v="2020-09-03T00:00:00"/>
    <s v="ESQUEL (MAURITIUS) LTD"/>
    <n v="36.85"/>
    <n v="-500000"/>
    <n v="0"/>
    <s v="Less than 90 days"/>
    <s v="ESQUEL (MAURITIUS) LTD"/>
    <s v="Rajendranath Sham"/>
    <s v=""/>
  </r>
  <r>
    <s v="USD806154527/02/202005/10/2020AZUR FINANCIAL SERVICES LTD37.73500000"/>
    <x v="12"/>
    <n v="8061545"/>
    <d v="2020-02-27T00:00:00"/>
    <d v="2020-10-05T00:00:00"/>
    <s v="AZUR FINANCIAL SERVICES LTD"/>
    <n v="37.729999999999997"/>
    <n v="500000"/>
    <n v="0"/>
    <s v="Less than 90 days"/>
    <s v=""/>
    <s v=""/>
    <s v=""/>
  </r>
  <r>
    <s v="USD798752810/02/202015/01/2021BANK ONE1.1172-1000000"/>
    <x v="12"/>
    <n v="7987528"/>
    <d v="2020-02-10T00:00:00"/>
    <d v="2021-01-15T00:00:00"/>
    <s v="BANK ONE"/>
    <n v="1.1172"/>
    <n v="-1000000"/>
    <n v="0"/>
    <s v="Less than 90 days"/>
    <s v=""/>
    <s v=""/>
    <s v=""/>
  </r>
  <r>
    <s v="USD806203827/02/202030/09/2020AZUR FINANCIAL SERVICES LTD37.73500000"/>
    <x v="12"/>
    <n v="8062038"/>
    <d v="2020-02-27T00:00:00"/>
    <d v="2020-09-30T00:00:00"/>
    <s v="AZUR FINANCIAL SERVICES LTD"/>
    <n v="37.729999999999997"/>
    <n v="500000"/>
    <n v="0"/>
    <s v="Less than 90 days"/>
    <s v=""/>
    <s v=""/>
    <s v=""/>
  </r>
  <r>
    <s v="USD801828517/02/202016/09/2020ESQUEL (MAURITIUS) LTD37.3-500000"/>
    <x v="12"/>
    <n v="8018285"/>
    <d v="2020-02-17T00:00:00"/>
    <d v="2020-09-16T00:00:00"/>
    <s v="ESQUEL (MAURITIUS) LTD"/>
    <n v="37.299999999999997"/>
    <n v="-500000"/>
    <n v="0"/>
    <s v="Less than 90 days"/>
    <s v="ESQUEL (MAURITIUS) LTD"/>
    <s v="Rajendranath Sham"/>
    <s v=""/>
  </r>
  <r>
    <s v="USD802187318/02/202006/10/2020ESQUEL (MAURITIUS) LTD37.35-500000"/>
    <x v="12"/>
    <n v="8021873"/>
    <d v="2020-02-18T00:00:00"/>
    <d v="2020-10-06T00:00:00"/>
    <s v="ESQUEL (MAURITIUS) LTD"/>
    <n v="37.35"/>
    <n v="-500000"/>
    <n v="0"/>
    <s v="Less than 90 days"/>
    <s v="ESQUEL (MAURITIUS) LTD"/>
    <s v="Rajendranath Sham"/>
    <s v=""/>
  </r>
  <r>
    <s v="USD802662819/02/202015/10/2020ESQUEL (MAURITIUS) LTD37.45-500000"/>
    <x v="12"/>
    <n v="8026628"/>
    <d v="2020-02-19T00:00:00"/>
    <d v="2020-10-15T00:00:00"/>
    <s v="ESQUEL (MAURITIUS) LTD"/>
    <n v="37.450000000000003"/>
    <n v="-500000"/>
    <n v="0"/>
    <s v="Less than 90 days"/>
    <s v="ESQUEL (MAURITIUS) LTD"/>
    <s v="Rajendranath Sham"/>
    <s v=""/>
  </r>
  <r>
    <s v="USD802661019/02/202006/11/2020ESQUEL (MAURITIUS) LTD37.5-500000"/>
    <x v="12"/>
    <n v="8026610"/>
    <d v="2020-02-19T00:00:00"/>
    <d v="2020-11-06T00:00:00"/>
    <s v="ESQUEL (MAURITIUS) LTD"/>
    <n v="37.5"/>
    <n v="-500000"/>
    <n v="0"/>
    <s v="Less than 90 days"/>
    <s v="ESQUEL (MAURITIUS) LTD"/>
    <s v="Rajendranath Sham"/>
    <s v=""/>
  </r>
  <r>
    <s v="USD805397526/02/202005/10/2020AZUR FINANCIAL SERVICES LTD37.7751000000"/>
    <x v="12"/>
    <n v="8053975"/>
    <d v="2020-02-26T00:00:00"/>
    <d v="2020-10-05T00:00:00"/>
    <s v="AZUR FINANCIAL SERVICES LTD"/>
    <n v="37.774999999999999"/>
    <n v="1000000"/>
    <n v="0"/>
    <s v="Less than 90 days"/>
    <s v=""/>
    <s v=""/>
    <s v=""/>
  </r>
  <r>
    <s v="USD848753204/06/202010/11/2020TIANLI SPINNING (MAURITIUS) CO LTD39.7-400000"/>
    <x v="12"/>
    <n v="8487532"/>
    <d v="2020-06-04T00:00:00"/>
    <d v="2020-11-10T00:00:00"/>
    <s v="TIANLI SPINNING (MAURITIUS) CO LTD"/>
    <n v="39.700000000000003"/>
    <n v="-400000"/>
    <n v="0"/>
    <s v="Less than 90 days"/>
    <s v=""/>
    <s v=""/>
    <s v=""/>
  </r>
  <r>
    <s v="USD797972907/02/202016/09/2020ESQUEL (MAURITIUS) LTD36.85-500000"/>
    <x v="12"/>
    <n v="7979729"/>
    <d v="2020-02-07T00:00:00"/>
    <d v="2020-09-16T00:00:00"/>
    <s v="ESQUEL (MAURITIUS) LTD"/>
    <n v="36.85"/>
    <n v="-500000"/>
    <n v="0"/>
    <s v="Less than 90 days"/>
    <s v="ESQUEL (MAURITIUS) LTD"/>
    <s v="Rajendranath Sham"/>
    <s v=""/>
  </r>
  <r>
    <s v="USD874888906/08/202020/11/2020LAFARGE40.1860000"/>
    <x v="12"/>
    <n v="8748889"/>
    <d v="2020-08-06T00:00:00"/>
    <d v="2020-11-20T00:00:00"/>
    <s v="LAFARGE"/>
    <n v="40.1"/>
    <n v="860000"/>
    <n v="0"/>
    <s v="Less than 90 days"/>
    <s v="LAFARGE"/>
    <s v="Rajen Manikion"/>
    <s v=""/>
  </r>
  <r>
    <s v="USD850592610/06/202010/11/2020MESH  AND STEEL TRADING LTD40.15100000"/>
    <x v="12"/>
    <n v="8505926"/>
    <d v="2020-06-10T00:00:00"/>
    <d v="2020-11-10T00:00:00"/>
    <s v="MESH  AND STEEL TRADING LTD"/>
    <n v="40.15"/>
    <n v="100000"/>
    <n v="0"/>
    <s v="Less than 90 days"/>
    <s v=""/>
    <s v=""/>
    <s v=""/>
  </r>
  <r>
    <s v="USD873715004/08/202010/09/2020PHARMACIE NOUVELLE LTD40.1570363.96"/>
    <x v="12"/>
    <n v="8737150"/>
    <d v="2020-08-04T00:00:00"/>
    <d v="2020-09-10T00:00:00"/>
    <s v="PHARMACIE NOUVELLE LTD"/>
    <n v="40.15"/>
    <n v="70363.960000000006"/>
    <n v="0"/>
    <s v="Less than 90 days"/>
    <s v="PHARMACIE NOUVELLE LTD"/>
    <s v="Kavita Ramruttun"/>
    <s v=""/>
  </r>
  <r>
    <s v="USD873711604/08/202004/09/2020PHARMACIE NOUVELLE LTD40.15276756.5"/>
    <x v="12"/>
    <n v="8737116"/>
    <d v="2020-08-04T00:00:00"/>
    <d v="2020-09-04T00:00:00"/>
    <s v="PHARMACIE NOUVELLE LTD"/>
    <n v="40.15"/>
    <n v="276756.5"/>
    <n v="0"/>
    <s v="Less than 90 days"/>
    <s v="PHARMACIE NOUVELLE LTD"/>
    <s v="Kavita Ramruttun"/>
    <s v=""/>
  </r>
  <r>
    <s v="USD873591004/08/202018/09/2020PANAGORA MARKETING CO LTD40.15193126.14"/>
    <x v="12"/>
    <n v="8735910"/>
    <d v="2020-08-04T00:00:00"/>
    <d v="2020-09-18T00:00:00"/>
    <s v="PANAGORA MARKETING CO LTD"/>
    <n v="40.15"/>
    <n v="193126.14"/>
    <n v="0"/>
    <s v="Less than 90 days"/>
    <s v="PANAGORA MARKETING CO LTD"/>
    <s v="Kavita Ramruttun"/>
    <s v=""/>
  </r>
  <r>
    <s v="USD870813928/07/202004/09/2020MAURITIUS SUGAR SYNDICATE1.174587000"/>
    <x v="12"/>
    <n v="8708139"/>
    <d v="2020-07-28T00:00:00"/>
    <d v="2020-09-04T00:00:00"/>
    <s v="MAURITIUS SUGAR SYNDICATE"/>
    <n v="1.1739999999999999"/>
    <n v="587000"/>
    <n v="0"/>
    <s v="Less than 90 days"/>
    <s v="MAURITIUS SUGAR SYNDICATE"/>
    <s v="C Yue Chi Ming"/>
    <s v=""/>
  </r>
  <r>
    <s v="USD873549404/08/202021/09/2020LAFARGE40.161100000"/>
    <x v="12"/>
    <n v="8735494"/>
    <d v="2020-08-04T00:00:00"/>
    <d v="2020-09-21T00:00:00"/>
    <s v="LAFARGE"/>
    <n v="40.159999999999997"/>
    <n v="1100000"/>
    <n v="0"/>
    <s v="Less than 90 days"/>
    <s v="LAFARGE"/>
    <s v="Rajen Manikion"/>
    <s v=""/>
  </r>
  <r>
    <s v="USD872675131/07/202020/10/2020CFAO MOTORS MAURITIUS LTD40.05115938"/>
    <x v="12"/>
    <n v="8726751"/>
    <d v="2020-07-31T00:00:00"/>
    <d v="2020-10-20T00:00:00"/>
    <s v="CFAO MOTORS MAURITIUS LTD"/>
    <n v="40.049999999999997"/>
    <n v="115938"/>
    <n v="0"/>
    <s v="Less than 90 days"/>
    <s v=""/>
    <s v=""/>
    <s v=""/>
  </r>
  <r>
    <s v="USD874886506/08/202020/10/2020LAFARGE40.09860000"/>
    <x v="12"/>
    <n v="8748865"/>
    <d v="2020-08-06T00:00:00"/>
    <d v="2020-10-20T00:00:00"/>
    <s v="LAFARGE"/>
    <n v="40.090000000000003"/>
    <n v="860000"/>
    <n v="0"/>
    <s v="Less than 90 days"/>
    <s v="LAFARGE"/>
    <s v="Rajen Manikion"/>
    <s v=""/>
  </r>
  <r>
    <s v="USD874808706/08/202016/10/2020PANAGORA MARKETING CO LTD40.1613428.6"/>
    <x v="12"/>
    <n v="8748087"/>
    <d v="2020-08-06T00:00:00"/>
    <d v="2020-10-16T00:00:00"/>
    <s v="PANAGORA MARKETING CO LTD"/>
    <n v="40.159999999999997"/>
    <n v="13428.6"/>
    <n v="0"/>
    <s v="Less than 90 days"/>
    <s v="PANAGORA MARKETING CO LTD"/>
    <s v="Kavita Ramruttun"/>
    <s v=""/>
  </r>
  <r>
    <s v="USD874807006/08/202024/09/2020PANAGORA MARKETING CO LTD40.1315591.08"/>
    <x v="12"/>
    <n v="8748070"/>
    <d v="2020-08-06T00:00:00"/>
    <d v="2020-09-24T00:00:00"/>
    <s v="PANAGORA MARKETING CO LTD"/>
    <n v="40.130000000000003"/>
    <n v="15591.08"/>
    <n v="0"/>
    <s v="Less than 90 days"/>
    <s v="PANAGORA MARKETING CO LTD"/>
    <s v="Kavita Ramruttun"/>
    <s v=""/>
  </r>
  <r>
    <s v="USD875280507/08/202021/12/2020LAFARGE40.1755000"/>
    <x v="12"/>
    <n v="8752805"/>
    <d v="2020-08-07T00:00:00"/>
    <d v="2020-12-21T00:00:00"/>
    <s v="LAFARGE"/>
    <n v="40.1"/>
    <n v="755000"/>
    <n v="0"/>
    <s v="Less than 90 days"/>
    <s v="LAFARGE"/>
    <s v="Rajen Manikion"/>
    <s v=""/>
  </r>
  <r>
    <s v="USD876191110/08/202025/08/2020BARCLAYS BANK PLC LONDON6.97797-286616.47"/>
    <x v="12"/>
    <n v="8761911"/>
    <d v="2020-08-10T00:00:00"/>
    <d v="2020-08-25T00:00:00"/>
    <s v="BARCLAYS BANK PLC LONDON"/>
    <n v="6.97797"/>
    <n v="-286616.46999999997"/>
    <n v="0"/>
    <s v="Less than 90 days"/>
    <s v=""/>
    <s v=""/>
    <s v=""/>
  </r>
  <r>
    <s v="USD876129010/08/202018/09/2020KOLOS CEMENT LIMITED39.91400000"/>
    <x v="12"/>
    <n v="8761290"/>
    <d v="2020-08-10T00:00:00"/>
    <d v="2020-09-18T00:00:00"/>
    <s v="KOLOS CEMENT LIMITED"/>
    <n v="39.9"/>
    <n v="1400000"/>
    <n v="0"/>
    <s v="Less than 90 days"/>
    <s v=""/>
    <s v=""/>
    <s v=""/>
  </r>
  <r>
    <s v="USD873590504/08/202031/08/2020JOONAS AND CO LTD40.09300000"/>
    <x v="12"/>
    <n v="8735905"/>
    <d v="2020-08-04T00:00:00"/>
    <d v="2020-08-31T00:00:00"/>
    <s v="JOONAS AND CO LTD"/>
    <n v="40.090000000000003"/>
    <n v="300000"/>
    <n v="0"/>
    <s v="Less than 90 days"/>
    <s v="JOONAS AND CO LTD"/>
    <s v="Kavita Ramruttun"/>
    <s v=""/>
  </r>
  <r>
    <s v="USD862232308/07/202021/09/2020MSJ LTD40.37100000"/>
    <x v="12"/>
    <n v="8622323"/>
    <d v="2020-07-08T00:00:00"/>
    <d v="2020-09-21T00:00:00"/>
    <s v="MSJ LTD"/>
    <n v="40.369999999999997"/>
    <n v="100000"/>
    <n v="0"/>
    <s v="Less than 90 days"/>
    <s v="MSJ LTD"/>
    <s v="Kavita Ramruttun"/>
    <s v=""/>
  </r>
  <r>
    <s v="USD850532610/06/202010/11/2020MESH  AND STEEL TRADING LTD40.15150000"/>
    <x v="12"/>
    <n v="8505326"/>
    <d v="2020-06-10T00:00:00"/>
    <d v="2020-11-10T00:00:00"/>
    <s v="MESH  AND STEEL TRADING LTD"/>
    <n v="40.15"/>
    <n v="150000"/>
    <n v="0"/>
    <s v="Less than 90 days"/>
    <s v=""/>
    <s v=""/>
    <s v=""/>
  </r>
  <r>
    <s v="USD857640326/06/202026/10/2020SBMH GROUP MAURITIUS LTD18.58291600000"/>
    <x v="12"/>
    <n v="8576403"/>
    <d v="2020-06-26T00:00:00"/>
    <d v="2020-10-26T00:00:00"/>
    <s v="SBMH GROUP MAURITIUS LTD"/>
    <n v="18.582899999999999"/>
    <n v="1600000"/>
    <n v="0"/>
    <s v="Less than 90 days"/>
    <s v="SBMH GROUP MAURITIUS LTD"/>
    <s v="Harish Bhoyroo"/>
    <s v=""/>
  </r>
  <r>
    <s v="USD857592726/06/202026/10/2020Absa Bank Seychelles (ABSC)18.4529-1600000"/>
    <x v="12"/>
    <n v="8575927"/>
    <d v="2020-06-26T00:00:00"/>
    <d v="2020-10-26T00:00:00"/>
    <s v="Absa Bank Seychelles (ABSC)"/>
    <n v="18.4529"/>
    <n v="-1600000"/>
    <n v="0"/>
    <s v="Less than 90 days"/>
    <s v=""/>
    <s v=""/>
    <s v=""/>
  </r>
  <r>
    <s v="USD860153202/07/202030/09/2020H.VAULBERT DE CHANTILLY LTD(HVC LTD)40.38125000"/>
    <x v="12"/>
    <n v="8601532"/>
    <d v="2020-07-02T00:00:00"/>
    <d v="2020-09-30T00:00:00"/>
    <s v="H.VAULBERT DE CHANTILLY LTD(HVC LTD)"/>
    <n v="40.380000000000003"/>
    <n v="125000"/>
    <n v="0"/>
    <s v="Less than 90 days"/>
    <s v=""/>
    <s v=""/>
    <s v=""/>
  </r>
  <r>
    <s v="USD860695003/07/202023/11/2020MRC WIRE PRODUCTS LTD40.3100000"/>
    <x v="12"/>
    <n v="8606950"/>
    <d v="2020-07-03T00:00:00"/>
    <d v="2020-11-23T00:00:00"/>
    <s v="MRC WIRE PRODUCTS LTD"/>
    <n v="40.299999999999997"/>
    <n v="100000"/>
    <n v="0"/>
    <s v="Less than 90 days"/>
    <s v="MRC WIRE PRODUCTS LTD"/>
    <s v="Christine John Chuan"/>
    <s v=""/>
  </r>
  <r>
    <s v="USD861557906/07/202009/09/2020MRC WIRE PRODUCTS LTD40.238000"/>
    <x v="12"/>
    <n v="8615579"/>
    <d v="2020-07-06T00:00:00"/>
    <d v="2020-09-09T00:00:00"/>
    <s v="MRC WIRE PRODUCTS LTD"/>
    <n v="40.200000000000003"/>
    <n v="38000"/>
    <n v="0"/>
    <s v="Less than 90 days"/>
    <s v="MRC WIRE PRODUCTS LTD"/>
    <s v="Christine John Chuan"/>
    <s v=""/>
  </r>
  <r>
    <s v="USD869704324/07/202029/01/2021NUMELEC LTD40.485000"/>
    <x v="12"/>
    <n v="8697043"/>
    <d v="2020-07-24T00:00:00"/>
    <d v="2021-01-29T00:00:00"/>
    <s v="NUMELEC LTD"/>
    <n v="40.479999999999997"/>
    <n v="5000"/>
    <n v="0"/>
    <s v="Less than 90 days"/>
    <s v="NUMELEC LTD"/>
    <s v="Rodolphe Couronne"/>
    <s v=""/>
  </r>
  <r>
    <s v="USD864380814/07/202010/12/2020TIANLI SPINNING (MAURITIUS) CO LTD39.85-400000"/>
    <x v="12"/>
    <n v="8643808"/>
    <d v="2020-07-14T00:00:00"/>
    <d v="2020-12-10T00:00:00"/>
    <s v="TIANLI SPINNING (MAURITIUS) CO LTD"/>
    <n v="39.85"/>
    <n v="-400000"/>
    <n v="0"/>
    <s v="Less than 90 days"/>
    <s v=""/>
    <s v=""/>
    <s v=""/>
  </r>
  <r>
    <s v="USD864616314/07/202016/10/2020ABSA BANK1.2532212532150"/>
    <x v="12"/>
    <n v="8646163"/>
    <d v="2020-07-14T00:00:00"/>
    <d v="2020-10-16T00:00:00"/>
    <s v="ABSA BANK"/>
    <n v="1.25322"/>
    <n v="12532150"/>
    <n v="0"/>
    <s v="Less than 90 days"/>
    <s v=""/>
    <s v=""/>
    <s v=""/>
  </r>
  <r>
    <s v="ZAR881447021/08/202025/08/2020BARCLAYS BANK PLC LONDON17.27291-278000"/>
    <x v="13"/>
    <n v="8814470"/>
    <d v="2020-08-21T00:00:00"/>
    <d v="2020-08-25T00:00:00"/>
    <s v="BARCLAYS BANK PLC LONDON"/>
    <n v="17.27291"/>
    <n v="-278000"/>
    <n v="0"/>
    <s v="Less than 90 days"/>
    <s v=""/>
    <s v=""/>
    <s v=""/>
  </r>
  <r>
    <s v="ZAR881522521/08/202025/08/2020BARCLAYS BANK PLC LONDON17.26216-160000"/>
    <x v="13"/>
    <n v="8815225"/>
    <d v="2020-08-21T00:00:00"/>
    <d v="2020-08-25T00:00:00"/>
    <s v="BARCLAYS BANK PLC LONDON"/>
    <n v="17.262160000000002"/>
    <n v="-160000"/>
    <n v="0"/>
    <s v="Less than 90 days"/>
    <s v=""/>
    <s v=""/>
    <s v=""/>
  </r>
  <r>
    <s v="ZAR811990509/03/202015/12/2020ABC MOTORS LTD2.241000000"/>
    <x v="13"/>
    <n v="8119905"/>
    <d v="2020-03-09T00:00:00"/>
    <d v="2020-12-15T00:00:00"/>
    <s v="ABC MOTORS LTD"/>
    <n v="2.2400000000000002"/>
    <n v="1000000"/>
    <n v="0"/>
    <s v="Less than 90 days"/>
    <s v="ABC MOTORS LTD"/>
    <s v="Kavita Ramruttun"/>
    <s v=""/>
  </r>
  <r>
    <s v="ZAR881049020/08/202024/08/2020KOLOS CEMENT LIMITED2.345824.18"/>
    <x v="13"/>
    <n v="8810490"/>
    <d v="2020-08-20T00:00:00"/>
    <d v="2020-08-24T00:00:00"/>
    <s v="KOLOS CEMENT LIMITED"/>
    <n v="2.34"/>
    <n v="5824.18"/>
    <n v="0"/>
    <s v="Less than 90 days"/>
    <s v=""/>
    <s v=""/>
    <s v=""/>
  </r>
  <r>
    <s v="ZAR881093620/08/202024/08/2020ABSA BANK17.197-17197000"/>
    <x v="13"/>
    <n v="8810936"/>
    <d v="2020-08-20T00:00:00"/>
    <d v="2020-08-24T00:00:00"/>
    <s v="ABSA BANK"/>
    <n v="17.196999999999999"/>
    <n v="-17197000"/>
    <n v="0"/>
    <s v="Less than 90 days"/>
    <s v=""/>
    <s v=""/>
    <s v=""/>
  </r>
  <r>
    <s v="ZAR880856920/08/202024/08/2020IRELAND BLYTH LIMITED2.32163200"/>
    <x v="13"/>
    <n v="8808569"/>
    <d v="2020-08-20T00:00:00"/>
    <d v="2020-08-24T00:00:00"/>
    <s v="IRELAND BLYTH LIMITED"/>
    <n v="2.3199999999999998"/>
    <n v="163200"/>
    <n v="0"/>
    <s v="Less than 90 days"/>
    <s v="IRELAND BLYTH LIMITED"/>
    <s v="Kavita Ramruttun"/>
    <s v=""/>
  </r>
  <r>
    <s v="ZAR881183020/08/202024/08/2020BARCLAYS BANK PLC LONDON17.32464-80000"/>
    <x v="13"/>
    <n v="8811830"/>
    <d v="2020-08-20T00:00:00"/>
    <d v="2020-08-24T00:00:00"/>
    <s v="BARCLAYS BANK PLC LONDON"/>
    <n v="17.324639999999999"/>
    <n v="-80000"/>
    <n v="0"/>
    <s v="Less than 90 days"/>
    <s v=""/>
    <s v=""/>
    <s v=""/>
  </r>
  <r>
    <s v="ZAR881174720/08/202024/08/2020Mauritius IBD17.2758317275830"/>
    <x v="13"/>
    <n v="8811747"/>
    <d v="2020-08-20T00:00:00"/>
    <d v="2020-08-24T00:00:00"/>
    <s v="Mauritius IBD"/>
    <n v="17.275829999999999"/>
    <n v="17275830"/>
    <n v="0"/>
    <s v="Less than 90 days"/>
    <s v=""/>
    <s v=""/>
    <s v=""/>
  </r>
  <r>
    <s v="ZAR880910520/08/202024/08/2020BARCLAYS BANK PLC LONDON17.32242-440000"/>
    <x v="13"/>
    <n v="8809105"/>
    <d v="2020-08-20T00:00:00"/>
    <d v="2020-08-24T00:00:00"/>
    <s v="BARCLAYS BANK PLC LONDON"/>
    <n v="17.322420000000001"/>
    <n v="-440000"/>
    <n v="0"/>
    <s v="Less than 90 days"/>
    <s v=""/>
    <s v=""/>
    <s v=""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  <r>
    <m/>
    <x v="14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6">
  <r>
    <n v="8815281"/>
    <s v="FX Fwd"/>
    <d v="2020-08-21T10:56:47"/>
    <d v="2020-09-28T00:00:00"/>
    <s v="IRELAND BLYTH LIMITED"/>
    <s v="IRELAND BLYTH LIMITED"/>
    <s v="Sell"/>
    <n v="-137046.20000000001"/>
    <x v="0"/>
    <n v="5457179.6799999997"/>
    <x v="0"/>
    <n v="39.82"/>
    <s v="MR_ON SandT CIB_FX"/>
    <s v="G01884883"/>
    <s v="BO Confirmed"/>
    <n v="-10595.465424710899"/>
    <n v="0"/>
    <n v="-10595.465424710899"/>
  </r>
  <r>
    <n v="8815264"/>
    <s v="FX Fwd"/>
    <d v="2020-08-21T10:53:32"/>
    <d v="2020-09-15T00:00:00"/>
    <s v="IRELAND BLYTH LIMITED"/>
    <s v="IRELAND BLYTH LIMITED"/>
    <s v="Sell"/>
    <n v="-402672.19"/>
    <x v="0"/>
    <n v="16026353.16"/>
    <x v="0"/>
    <n v="39.799999999999997"/>
    <s v="MR_ON SandT CIB_FX"/>
    <s v="G01884883"/>
    <s v="BO Confirmed"/>
    <n v="-32450.034536708099"/>
    <n v="0"/>
    <n v="-32450.034536708099"/>
  </r>
  <r>
    <n v="8815243"/>
    <s v="FX Fwd"/>
    <d v="2020-08-21T10:49:46"/>
    <d v="2020-09-08T00:00:00"/>
    <s v="IRELAND BLYTH LIMITED"/>
    <s v="IRELAND BLYTH LIMITED"/>
    <s v="Sell"/>
    <n v="-154721.03"/>
    <x v="0"/>
    <n v="6157123.3899999997"/>
    <x v="0"/>
    <n v="39.795000000000002"/>
    <s v="MR_ON SandT CIB_FX"/>
    <s v="G01884883"/>
    <s v="BO Confirmed"/>
    <n v="-11814.1132524479"/>
    <n v="0"/>
    <n v="-11814.1132524479"/>
  </r>
  <r>
    <n v="8815210"/>
    <s v="FX Fwd"/>
    <d v="2020-08-21T10:45:14"/>
    <d v="2020-09-24T00:00:00"/>
    <s v="IRELAND BLYTH LIMITED"/>
    <s v="IRELAND BLYTH LIMITED"/>
    <s v="Sell"/>
    <n v="-108530"/>
    <x v="1"/>
    <n v="5106336.5"/>
    <x v="0"/>
    <n v="47.05"/>
    <s v="MR_ON SandT CIB_FX"/>
    <s v="G01884883"/>
    <s v="BO Confirmed"/>
    <n v="2569.2135579297301"/>
    <n v="0"/>
    <n v="2569.2135579297301"/>
  </r>
  <r>
    <n v="8815172"/>
    <s v="FX Fwd"/>
    <d v="2020-08-21T10:40:49"/>
    <d v="2020-09-01T00:00:00"/>
    <s v="IRELAND BLYTH LIMITED"/>
    <s v="IRELAND BLYTH LIMITED"/>
    <s v="Sell"/>
    <n v="-416268.72"/>
    <x v="1"/>
    <n v="19570873.870000001"/>
    <x v="0"/>
    <n v="47.015000000000001"/>
    <s v="MR_ON SandT CIB_FX"/>
    <s v="G01884883"/>
    <s v="BO-BO Confirmed"/>
    <n v="19367.680874317899"/>
    <n v="0"/>
    <n v="19367.680874317899"/>
  </r>
  <r>
    <n v="8802697"/>
    <s v="FX Fwd"/>
    <d v="2020-08-19T08:24:37"/>
    <d v="2020-12-21T00:00:00"/>
    <s v="MAURITIUS SUGAR SYNDICATE"/>
    <s v="MAURITIUS SUGAR SYNDICATE"/>
    <s v="Buy"/>
    <n v="500000"/>
    <x v="1"/>
    <n v="-23750000"/>
    <x v="0"/>
    <n v="47.5"/>
    <s v="MR_ON SandT CIB_FX"/>
    <s v="H10042101"/>
    <s v="BO-BO Confirmed"/>
    <n v="-123786.82771083"/>
    <n v="0"/>
    <n v="-123786.82771083"/>
  </r>
  <r>
    <n v="8802001"/>
    <s v="FX Fwd"/>
    <d v="2020-08-19T06:25:51"/>
    <d v="2020-09-11T00:00:00"/>
    <s v="MAURITIUS SUGAR SYNDICATE"/>
    <s v="MAURITIUS SUGAR SYNDICATE"/>
    <s v="Buy"/>
    <n v="500000"/>
    <x v="1"/>
    <n v="-597050"/>
    <x v="1"/>
    <n v="1.1940999999999999"/>
    <s v="MR_ON SandT CIB_FX"/>
    <s v="G01201900"/>
    <s v="BO-BO Confirmed"/>
    <n v="-310380.90395429399"/>
    <n v="0"/>
    <n v="-310380.90395429399"/>
  </r>
  <r>
    <n v="8797817"/>
    <s v="FX Fwd"/>
    <d v="2020-08-18T07:08:08"/>
    <d v="2021-03-11T00:00:00"/>
    <s v="LAFARGE"/>
    <s v="LAFARGE"/>
    <s v="Sell"/>
    <n v="-720000"/>
    <x v="0"/>
    <n v="28656000"/>
    <x v="0"/>
    <n v="39.799999999999997"/>
    <s v="MR_ON SandT CIB_FX"/>
    <s v="H10042101"/>
    <s v="BO-BO Confirmed"/>
    <n v="-248546.198033027"/>
    <n v="0"/>
    <n v="-248546.198033027"/>
  </r>
  <r>
    <n v="8797463"/>
    <s v="FX Fwd"/>
    <d v="2020-08-18T04:58:57"/>
    <d v="2020-09-11T00:00:00"/>
    <s v="MAURITIUS SUGAR SYNDICATE"/>
    <s v="MAURITIUS SUGAR SYNDICATE"/>
    <s v="Buy"/>
    <n v="500000"/>
    <x v="1"/>
    <n v="-594600"/>
    <x v="1"/>
    <n v="1.1892"/>
    <s v="MR_ON SandT CIB_FX"/>
    <s v="H10042101"/>
    <s v="BO-BO Confirmed"/>
    <n v="-212764.07583690801"/>
    <n v="0"/>
    <n v="-212764.07583690801"/>
  </r>
  <r>
    <n v="8794326"/>
    <s v="FX Fwd"/>
    <d v="2020-08-17T10:20:44"/>
    <d v="2021-02-11T00:00:00"/>
    <s v="LAFARGE"/>
    <s v="LAFARGE"/>
    <s v="Sell"/>
    <n v="-720000"/>
    <x v="0"/>
    <n v="28656000"/>
    <x v="0"/>
    <n v="39.799999999999997"/>
    <s v="MR_ON SandT CIB_FX"/>
    <s v="H10042101"/>
    <s v="BO-BO Confirmed"/>
    <n v="-213813.46302352499"/>
    <n v="0"/>
    <n v="-213813.46302352499"/>
  </r>
  <r>
    <n v="8794298"/>
    <s v="FX Fwd"/>
    <d v="2020-08-17T10:14:42"/>
    <d v="2021-03-24T00:00:00"/>
    <s v="DUCRAY LENOIR LIMITED"/>
    <s v="DUCRAY LENOIR LIMITED"/>
    <s v="Sell"/>
    <n v="-608279"/>
    <x v="0"/>
    <n v="24391987.899999999"/>
    <x v="0"/>
    <n v="40.1"/>
    <s v="MR_ON SandT CIB_FX"/>
    <s v="G01884883"/>
    <s v="BO-BO Confirmed"/>
    <n v="-41834.009469952398"/>
    <n v="0"/>
    <n v="-41834.009469952398"/>
  </r>
  <r>
    <n v="8792768"/>
    <s v="FX Fwd"/>
    <d v="2020-08-17T06:55:05"/>
    <d v="2021-01-12T00:00:00"/>
    <s v="LAFARGE"/>
    <s v="LAFARGE"/>
    <s v="Sell"/>
    <n v="-720000"/>
    <x v="0"/>
    <n v="28656000"/>
    <x v="0"/>
    <n v="39.799999999999997"/>
    <s v="MR_ON SandT CIB_FX"/>
    <s v="H10042101"/>
    <s v="BO-BO Confirmed"/>
    <n v="-174952.13686654301"/>
    <n v="0"/>
    <n v="-174952.13686654301"/>
  </r>
  <r>
    <n v="8783658"/>
    <s v="FX Fwd"/>
    <d v="2020-08-13T09:39:00"/>
    <d v="2020-11-05T00:00:00"/>
    <s v="LIVESTOCK FEED LTD"/>
    <s v="LIVESTOCK FEED LTD"/>
    <s v="Sell"/>
    <n v="-1000000"/>
    <x v="0"/>
    <n v="39790000"/>
    <x v="0"/>
    <n v="39.79"/>
    <s v="MR_ON SandT CIB_FX"/>
    <s v="H10042101"/>
    <s v="BO-BO Confirmed"/>
    <n v="-154249.495191686"/>
    <n v="0"/>
    <n v="-154249.495191686"/>
  </r>
  <r>
    <n v="8765475"/>
    <s v="FX Fwd"/>
    <d v="2020-08-11T09:51:26"/>
    <d v="2020-09-02T00:00:00"/>
    <s v="MAURITIUS OIL REFINERIES LTD"/>
    <s v="MAURITIUS OIL REFINERIES LTD"/>
    <s v="Sell"/>
    <n v="-500000"/>
    <x v="0"/>
    <n v="19970000"/>
    <x v="0"/>
    <n v="39.94"/>
    <s v="MR_ON SandT CIB_FX"/>
    <s v="G01884883"/>
    <s v="BO-BO Confirmed"/>
    <n v="38318.039708692602"/>
    <n v="0"/>
    <n v="38318.039708692602"/>
  </r>
  <r>
    <n v="8764330"/>
    <s v="FX Fwd"/>
    <d v="2020-08-11T07:39:54"/>
    <d v="2020-09-11T00:00:00"/>
    <s v="JOONAS AND CO LTD"/>
    <s v="JOONAS AND CO LTD"/>
    <s v="Sell"/>
    <n v="-200000"/>
    <x v="0"/>
    <n v="7996000"/>
    <x v="0"/>
    <n v="39.979999999999997"/>
    <s v="MR_ON SandT CIB_FX"/>
    <s v="G01201900"/>
    <s v="BO-BO Confirmed"/>
    <n v="20903.9655536711"/>
    <n v="0"/>
    <n v="20903.9655536711"/>
  </r>
  <r>
    <n v="8761290"/>
    <s v="FX Fwd"/>
    <d v="2020-08-10T11:31:26"/>
    <d v="2020-09-18T00:00:00"/>
    <s v="KOLOS CEMENT LIMITED"/>
    <s v="KOLOS CEMENT LIMITED"/>
    <s v="Sell"/>
    <n v="-1400000"/>
    <x v="0"/>
    <n v="55860000"/>
    <x v="0"/>
    <n v="39.9"/>
    <s v="MR_ON SandT CIB_FX"/>
    <s v="H10042101"/>
    <s v="BO-BO Confirmed"/>
    <n v="21565.579674907"/>
    <n v="0"/>
    <n v="21565.579674907"/>
  </r>
  <r>
    <n v="8755604"/>
    <s v="FX Fwd"/>
    <d v="2020-08-07T11:54:56"/>
    <d v="2020-12-07T00:00:00"/>
    <s v="MRC WIRE PRODUCTS LTD"/>
    <s v="MRC WIRE PRODUCTS LTD"/>
    <s v="Sell"/>
    <n v="-30000"/>
    <x v="1"/>
    <n v="1426500"/>
    <x v="0"/>
    <n v="47.55"/>
    <s v="MR_ON SandT CIB_FX"/>
    <s v="G01884883"/>
    <s v="BO-BO Confirmed"/>
    <n v="10131.049962978999"/>
    <n v="0"/>
    <n v="10131.049962978999"/>
  </r>
  <r>
    <n v="8752805"/>
    <s v="FX Fwd"/>
    <d v="2020-08-07T06:46:08"/>
    <d v="2020-12-21T00:00:00"/>
    <s v="LAFARGE"/>
    <s v="LAFARGE"/>
    <s v="Sell"/>
    <n v="-755000"/>
    <x v="0"/>
    <n v="30275500"/>
    <x v="0"/>
    <n v="40.1"/>
    <s v="MR_ON SandT CIB_FX"/>
    <s v="H10042101"/>
    <s v="BO-BO Confirmed"/>
    <n v="69294.945143826306"/>
    <n v="0"/>
    <n v="69294.945143826306"/>
  </r>
  <r>
    <n v="8748889"/>
    <s v="FX Fwd"/>
    <d v="2020-08-06T08:55:30"/>
    <d v="2020-11-20T00:00:00"/>
    <s v="LAFARGE"/>
    <s v="LAFARGE"/>
    <s v="Sell"/>
    <n v="-860000"/>
    <x v="0"/>
    <n v="34486000"/>
    <x v="0"/>
    <n v="40.1"/>
    <s v="MR_ON SandT CIB_FX"/>
    <s v="H10042101"/>
    <s v="BO-BO Confirmed"/>
    <n v="117232.465984382"/>
    <n v="0"/>
    <n v="117232.465984382"/>
  </r>
  <r>
    <n v="8748865"/>
    <s v="FX Fwd"/>
    <d v="2020-08-06T08:54:07"/>
    <d v="2020-10-20T00:00:00"/>
    <s v="LAFARGE"/>
    <s v="LAFARGE"/>
    <s v="Sell"/>
    <n v="-860000"/>
    <x v="0"/>
    <n v="34477400"/>
    <x v="0"/>
    <n v="40.090000000000003"/>
    <s v="MR_ON SandT CIB_FX"/>
    <s v="H10042101"/>
    <s v="BO-BO Confirmed"/>
    <n v="141644.49537108801"/>
    <n v="0"/>
    <n v="141644.49537108801"/>
  </r>
  <r>
    <n v="8748105"/>
    <s v="FX Fwd"/>
    <d v="2020-08-06T07:00:16"/>
    <d v="2020-10-20T00:00:00"/>
    <s v="PANAGORA MARKETING CO LTD"/>
    <s v="PANAGORA MARKETING CO LTD"/>
    <s v="Sell"/>
    <n v="-5182"/>
    <x v="1"/>
    <n v="248217.8"/>
    <x v="0"/>
    <n v="47.9"/>
    <s v="MR_ON SandT CIB_FX"/>
    <s v="G01884883"/>
    <s v="BO-BO Confirmed"/>
    <n v="4191.2188897343603"/>
    <n v="0"/>
    <n v="4191.2188897343603"/>
  </r>
  <r>
    <n v="8748087"/>
    <s v="FX Fwd"/>
    <d v="2020-08-06T06:57:39"/>
    <d v="2020-10-16T00:00:00"/>
    <s v="PANAGORA MARKETING CO LTD"/>
    <s v="PANAGORA MARKETING CO LTD"/>
    <s v="Sell"/>
    <n v="-13428.6"/>
    <x v="0"/>
    <n v="539292.57999999996"/>
    <x v="0"/>
    <n v="40.159999999999997"/>
    <s v="MR_ON SandT CIB_FX"/>
    <s v="G01884883"/>
    <s v="BO-BO Confirmed"/>
    <n v="3216.5685983527201"/>
    <n v="0"/>
    <n v="3216.5685983527201"/>
  </r>
  <r>
    <n v="8748070"/>
    <s v="FX Fwd"/>
    <d v="2020-08-06T06:56:08"/>
    <d v="2020-09-24T00:00:00"/>
    <s v="PANAGORA MARKETING CO LTD"/>
    <s v="PANAGORA MARKETING CO LTD"/>
    <s v="Sell"/>
    <n v="-15591.08"/>
    <x v="0"/>
    <n v="625670.04"/>
    <x v="0"/>
    <n v="40.130000000000003"/>
    <s v="MR_ON SandT CIB_FX"/>
    <s v="G01884883"/>
    <s v="BO-BO Confirmed"/>
    <n v="3700.6309631168801"/>
    <n v="0"/>
    <n v="3700.6309631168801"/>
  </r>
  <r>
    <n v="8740200"/>
    <s v="FX Fwd"/>
    <d v="2020-08-05T08:34:29"/>
    <d v="2020-09-10T00:00:00"/>
    <s v="CFAO MOTORS MAURITIUS LTD"/>
    <s v="CFAO MOTORS MAURITIUS LTD"/>
    <s v="Sell"/>
    <n v="-191579.43"/>
    <x v="1"/>
    <n v="9078949.1899999995"/>
    <x v="0"/>
    <n v="47.39"/>
    <s v="MR_ON SandT CIB_FX"/>
    <s v="H10042101"/>
    <s v="BO-BO Confirmed"/>
    <n v="76299.973528500603"/>
    <n v="0"/>
    <n v="76299.973528500603"/>
  </r>
  <r>
    <n v="8737150"/>
    <s v="FX Fwd"/>
    <d v="2020-08-04T09:36:47"/>
    <d v="2020-09-10T00:00:00"/>
    <s v="PHARMACIE NOUVELLE LTD"/>
    <s v="PHARMACIE NOUVELLE LTD"/>
    <s v="Sell"/>
    <n v="-70363.960000000006"/>
    <x v="0"/>
    <n v="2825112.99"/>
    <x v="0"/>
    <n v="40.15"/>
    <s v="MR_ON SandT CIB_FX"/>
    <s v="G01884883"/>
    <s v="BO-BO Confirmed"/>
    <n v="19400.686175721199"/>
    <n v="0"/>
    <n v="19400.686175721199"/>
  </r>
  <r>
    <n v="8737116"/>
    <s v="FX Fwd"/>
    <d v="2020-08-04T09:33:33"/>
    <d v="2020-09-04T00:00:00"/>
    <s v="PHARMACIE NOUVELLE LTD"/>
    <s v="PHARMACIE NOUVELLE LTD"/>
    <s v="Sell"/>
    <n v="-276756.5"/>
    <x v="0"/>
    <n v="11111773.48"/>
    <x v="0"/>
    <n v="40.15"/>
    <s v="MR_ON SandT CIB_FX"/>
    <s v="G01884883"/>
    <s v="BO-BO Confirmed"/>
    <n v="78546.335103649602"/>
    <n v="0"/>
    <n v="78546.335103649602"/>
  </r>
  <r>
    <n v="8735910"/>
    <s v="FX Fwd"/>
    <d v="2020-08-04T07:10:53"/>
    <d v="2020-09-18T00:00:00"/>
    <s v="PANAGORA MARKETING CO LTD"/>
    <s v="PANAGORA MARKETING CO LTD"/>
    <s v="Sell"/>
    <n v="-193126.14"/>
    <x v="0"/>
    <n v="7754014.5199999996"/>
    <x v="0"/>
    <n v="40.15"/>
    <s v="MR_ON SandT CIB_FX"/>
    <s v="G01884883"/>
    <s v="BO-BO Confirmed"/>
    <n v="51204.964455804802"/>
    <n v="0"/>
    <n v="51204.964455804802"/>
  </r>
  <r>
    <n v="8735905"/>
    <s v="FX Fwd"/>
    <d v="2020-08-04T07:10:44"/>
    <d v="2020-08-31T00:00:00"/>
    <s v="JOONAS AND CO LTD"/>
    <s v="JOONAS AND CO LTD"/>
    <s v="Sell"/>
    <n v="-300000"/>
    <x v="0"/>
    <n v="12027000"/>
    <x v="0"/>
    <n v="40.090000000000003"/>
    <s v="MR_ON SandT CIB_FX"/>
    <s v="H10042101"/>
    <s v="BO-BO Confirmed"/>
    <n v="68801.580318907305"/>
    <n v="0"/>
    <n v="68801.580318907305"/>
  </r>
  <r>
    <n v="8735494"/>
    <s v="FX Fwd"/>
    <d v="2020-08-04T06:02:12"/>
    <d v="2020-09-21T00:00:00"/>
    <s v="LAFARGE"/>
    <s v="LAFARGE"/>
    <s v="Sell"/>
    <n v="-1100000"/>
    <x v="0"/>
    <n v="44176000"/>
    <x v="0"/>
    <n v="40.159999999999997"/>
    <s v="MR_ON SandT CIB_FX"/>
    <s v="H10042101"/>
    <s v="BO-BO Confirmed"/>
    <n v="298330.46345899999"/>
    <n v="0"/>
    <n v="298330.46345899999"/>
  </r>
  <r>
    <n v="8726940"/>
    <s v="FX Fwd"/>
    <d v="2020-07-31T08:21:53"/>
    <d v="2020-09-15T00:00:00"/>
    <s v="MSJ LTD"/>
    <s v="MSJ LTD"/>
    <s v="Sell"/>
    <n v="-108619"/>
    <x v="1"/>
    <n v="5202850.0999999996"/>
    <x v="0"/>
    <n v="47.9"/>
    <s v="MR_ON SandT CIB_FX"/>
    <s v="G01884883"/>
    <s v="BO-BO Confirmed"/>
    <n v="97230.732762081505"/>
    <n v="0"/>
    <n v="97230.732762081505"/>
  </r>
  <r>
    <n v="8726751"/>
    <s v="FX Fwd"/>
    <d v="2020-07-31T07:15:39"/>
    <d v="2020-10-20T00:00:00"/>
    <s v="CFAO MOTORS MAURITIUS LTD"/>
    <s v="CFAO MOTORS MAURITIUS LTD"/>
    <s v="Sell"/>
    <n v="-115938"/>
    <x v="0"/>
    <n v="4643316.9000000004"/>
    <x v="0"/>
    <n v="40.049999999999997"/>
    <s v="MR_ON SandT CIB_FX"/>
    <s v="H10042101"/>
    <s v="BO-BO Confirmed"/>
    <n v="14468.492368818301"/>
    <n v="0"/>
    <n v="14468.492368818301"/>
  </r>
  <r>
    <n v="8726740"/>
    <s v="FX Fwd"/>
    <d v="2020-07-31T07:07:30"/>
    <d v="2020-11-16T00:00:00"/>
    <s v="CFAO MOTORS MAURITIUS LTD"/>
    <s v="CFAO MOTORS MAURITIUS LTD"/>
    <s v="Sell"/>
    <n v="-74577300.599999994"/>
    <x v="2"/>
    <n v="28712260.73"/>
    <x v="0"/>
    <n v="0.38500000000000001"/>
    <s v="MR_ON SandT CIB_FX"/>
    <s v="H10042101"/>
    <s v="BO-BO Confirmed"/>
    <n v="502307.26442491298"/>
    <n v="0"/>
    <n v="502307.26442491298"/>
  </r>
  <r>
    <n v="8720900"/>
    <s v="FX Fwd"/>
    <d v="2020-07-30T06:45:27"/>
    <d v="2020-12-15T00:00:00"/>
    <s v="MAURITIUS SUGAR SYNDICATE"/>
    <s v="MAURITIUS SUGAR SYNDICATE"/>
    <s v="Buy"/>
    <n v="500000"/>
    <x v="1"/>
    <n v="-23800000"/>
    <x v="0"/>
    <n v="47.6"/>
    <s v="MR_ON SandT CIB_FX"/>
    <s v="H10042101"/>
    <s v="BO-BO Confirmed"/>
    <n v="-182323.13771922499"/>
    <n v="0"/>
    <n v="-182323.13771922499"/>
  </r>
  <r>
    <n v="8708139"/>
    <s v="FX Fwd"/>
    <d v="2020-07-28T06:08:38"/>
    <d v="2020-09-04T00:00:00"/>
    <s v="MAURITIUS SUGAR SYNDICATE"/>
    <s v="MAURITIUS SUGAR SYNDICATE"/>
    <s v="Buy"/>
    <n v="500000"/>
    <x v="1"/>
    <n v="-587000"/>
    <x v="1"/>
    <n v="1.1739999999999999"/>
    <s v="MR_ON SandT CIB_FX"/>
    <s v="H10042101"/>
    <s v="BO-BO Confirmed"/>
    <n v="86705.017567805902"/>
    <n v="0"/>
    <n v="86705.017567805902"/>
  </r>
  <r>
    <n v="8702521"/>
    <s v="FX Fwd"/>
    <d v="2020-07-27T06:55:21"/>
    <d v="2020-12-10T00:00:00"/>
    <s v="MAURITIUS SUGAR SYNDICATE"/>
    <s v="MAURITIUS SUGAR SYNDICATE"/>
    <s v="Buy"/>
    <n v="500000"/>
    <x v="1"/>
    <n v="-23800000"/>
    <x v="0"/>
    <n v="47.6"/>
    <s v="MR_ON SandT CIB_FX"/>
    <s v="H10042101"/>
    <s v="BO-BO Confirmed"/>
    <n v="-189499.90660360799"/>
    <n v="0"/>
    <n v="-189499.90660360799"/>
  </r>
  <r>
    <n v="8697055"/>
    <s v="FX Fwd"/>
    <d v="2020-07-24T08:00:31"/>
    <d v="2021-01-29T00:00:00"/>
    <s v="NUMELEC LTD"/>
    <s v="NUMELEC LTD"/>
    <s v="Sell"/>
    <n v="-10000"/>
    <x v="1"/>
    <n v="475600"/>
    <x v="0"/>
    <n v="47.56"/>
    <s v="MR_ON SandT Commercial FX"/>
    <s v="H10041277"/>
    <s v="BO-BO Confirmed"/>
    <n v="1820.2408729804999"/>
    <n v="0"/>
    <n v="1820.2408729804999"/>
  </r>
  <r>
    <n v="8697043"/>
    <s v="FX Fwd"/>
    <d v="2020-07-24T07:57:13"/>
    <d v="2021-01-29T00:00:00"/>
    <s v="NUMELEC LTD"/>
    <s v="NUMELEC LTD"/>
    <s v="Sell"/>
    <n v="-5000"/>
    <x v="0"/>
    <n v="202400"/>
    <x v="0"/>
    <n v="40.479999999999997"/>
    <s v="MR_ON SandT Commercial FX"/>
    <s v="H10041277"/>
    <s v="BO-BO Confirmed"/>
    <n v="2010.68669874431"/>
    <n v="0"/>
    <n v="2010.68669874431"/>
  </r>
  <r>
    <n v="8696546"/>
    <s v="FX Fwd"/>
    <d v="2020-07-24T06:55:39"/>
    <d v="2020-10-15T00:00:00"/>
    <s v="MRC WIRE PRODUCTS LTD"/>
    <s v="MRC WIRE PRODUCTS LTD"/>
    <s v="Sell"/>
    <n v="-85000"/>
    <x v="1"/>
    <n v="4029000"/>
    <x v="0"/>
    <n v="47.4"/>
    <s v="MR_ON SandT CIB_FX"/>
    <s v="G01884883"/>
    <s v="BO-BO Confirmed"/>
    <n v="27377.2647738704"/>
    <n v="0"/>
    <n v="27377.2647738704"/>
  </r>
  <r>
    <n v="8696241"/>
    <s v="FX Fwd"/>
    <d v="2020-07-24T05:35:06"/>
    <d v="2020-10-26T00:00:00"/>
    <s v="CFAO MOTORS MAURITIUS LTD"/>
    <s v="CFAO MOTORS MAURITIUS LTD"/>
    <s v="Sell"/>
    <n v="-500000"/>
    <x v="1"/>
    <n v="23750000"/>
    <x v="0"/>
    <n v="47.5"/>
    <s v="MR_ON SandT CIB_FX"/>
    <s v="H10042101"/>
    <s v="BO-BO Confirmed"/>
    <n v="197534.55115556301"/>
    <n v="0"/>
    <n v="197534.55115556301"/>
  </r>
  <r>
    <n v="8684112"/>
    <s v="FX Fwd"/>
    <d v="2020-07-22T07:37:38"/>
    <d v="2020-10-29T00:00:00"/>
    <s v="MAURITIUS SUGAR SYNDICATE"/>
    <s v="MAURITIUS SUGAR SYNDICATE"/>
    <s v="Buy"/>
    <n v="500000"/>
    <x v="1"/>
    <n v="-23375000"/>
    <x v="0"/>
    <n v="46.75"/>
    <s v="MR_ON SandT CIB_FX"/>
    <s v="H10042101"/>
    <s v="BO-BO Confirmed"/>
    <n v="180149.82557249401"/>
    <n v="0"/>
    <n v="180149.82557249401"/>
  </r>
  <r>
    <n v="8643808"/>
    <s v="FX Fwd"/>
    <d v="2020-07-14T06:57:21"/>
    <d v="2020-12-10T00:00:00"/>
    <s v="TIANLI SPINNING (MAURITIUS) CO LTD"/>
    <s v="TIANLI SPINNING (MAURITIUS) CO LTD"/>
    <s v="Buy"/>
    <n v="400000"/>
    <x v="0"/>
    <n v="-15940000"/>
    <x v="0"/>
    <n v="39.85"/>
    <s v="MR_ON SandT CIB_FX"/>
    <s v="H10042101"/>
    <s v="BO-BO Confirmed"/>
    <n v="56154.131272414699"/>
    <n v="0"/>
    <n v="56154.131272414699"/>
  </r>
  <r>
    <n v="8642601"/>
    <s v="FX Fwd"/>
    <d v="2020-07-13T14:11:36"/>
    <d v="2020-11-20T00:00:00"/>
    <s v="MAURITIUS SUGAR SYNDICATE"/>
    <s v="MAURITIUS SUGAR SYNDICATE"/>
    <s v="Buy"/>
    <n v="500000"/>
    <x v="1"/>
    <n v="-23000000"/>
    <x v="0"/>
    <n v="46"/>
    <s v="MR_ON SandT CIB_FX"/>
    <s v="G01201900"/>
    <s v="BO-BO Confirmed"/>
    <n v="580685.395273317"/>
    <n v="0"/>
    <n v="580685.395273317"/>
  </r>
  <r>
    <n v="8622323"/>
    <s v="FX Fwd"/>
    <d v="2020-07-08T08:41:52"/>
    <d v="2020-09-21T00:00:00"/>
    <s v="MSJ LTD"/>
    <s v="MSJ LTD"/>
    <s v="Sell"/>
    <n v="-100000"/>
    <x v="0"/>
    <n v="4037000"/>
    <x v="0"/>
    <n v="40.369999999999997"/>
    <s v="MR_ON SandT CIB_FX"/>
    <s v="G01884883"/>
    <s v="BO-BO Confirmed"/>
    <n v="48096.128361245203"/>
    <n v="0"/>
    <n v="48096.128361245203"/>
  </r>
  <r>
    <n v="8615579"/>
    <s v="FX Fwd"/>
    <d v="2020-07-06T12:14:12"/>
    <d v="2020-09-09T00:00:00"/>
    <s v="MRC WIRE PRODUCTS LTD"/>
    <s v="MRC WIRE PRODUCTS LTD"/>
    <s v="Sell"/>
    <n v="-38000"/>
    <x v="0"/>
    <n v="1527600"/>
    <x v="0"/>
    <n v="40.200000000000003"/>
    <s v="MR_ON SandT CIB_FX"/>
    <s v="G01884883"/>
    <s v="BO-BO Confirmed"/>
    <n v="12426.8244702341"/>
    <n v="0"/>
    <n v="12426.8244702341"/>
  </r>
  <r>
    <n v="8606950"/>
    <s v="FX Fwd"/>
    <d v="2020-07-03T09:23:11"/>
    <d v="2020-11-23T00:00:00"/>
    <s v="MRC WIRE PRODUCTS LTD"/>
    <s v="MRC WIRE PRODUCTS LTD"/>
    <s v="Sell"/>
    <n v="-100000"/>
    <x v="0"/>
    <n v="4030000"/>
    <x v="0"/>
    <n v="40.299999999999997"/>
    <s v="MR_ON SandT CIB_FX"/>
    <s v="G01884883"/>
    <s v="BO-BO Confirmed"/>
    <n v="33189.4976594732"/>
    <n v="0"/>
    <n v="33189.4976594732"/>
  </r>
  <r>
    <n v="8606667"/>
    <s v="FX Fwd"/>
    <d v="2020-07-03T09:06:39"/>
    <d v="2020-10-30T00:00:00"/>
    <s v="H.VAULBERT DE CHANTILLY LTD(HVC LTD)"/>
    <s v="H.VAULBERT DE CHANTILLY LTD(HVC LTD)"/>
    <s v="Sell"/>
    <n v="-150000"/>
    <x v="1"/>
    <n v="6799500"/>
    <x v="0"/>
    <n v="45.33"/>
    <s v="MR_ON SandT Commercial FX"/>
    <s v="H10041277"/>
    <s v="BO-BO Confirmed"/>
    <n v="-266835.03472669201"/>
    <n v="0"/>
    <n v="-266835.03472669201"/>
  </r>
  <r>
    <n v="8601532"/>
    <s v="FX Fwd"/>
    <d v="2020-07-02T09:37:06"/>
    <d v="2020-09-30T00:00:00"/>
    <s v="H.VAULBERT DE CHANTILLY LTD(HVC LTD)"/>
    <s v="H.VAULBERT DE CHANTILLY LTD(HVC LTD)"/>
    <s v="Sell"/>
    <n v="-125000"/>
    <x v="0"/>
    <n v="5047500"/>
    <x v="0"/>
    <n v="40.380000000000003"/>
    <s v="MR_ON SandT Commercial FX"/>
    <s v="H10041277"/>
    <s v="BO-BO Confirmed"/>
    <n v="59914.202711552403"/>
    <n v="0"/>
    <n v="59914.202711552403"/>
  </r>
  <r>
    <n v="8601477"/>
    <s v="FX Fwd"/>
    <d v="2020-07-02T09:32:16"/>
    <d v="2020-09-30T00:00:00"/>
    <s v="H.VAULBERT DE CHANTILLY LTD(HVC LTD)"/>
    <s v="H.VAULBERT DE CHANTILLY LTD(HVC LTD)"/>
    <s v="Sell"/>
    <n v="-180000"/>
    <x v="1"/>
    <n v="8211600"/>
    <x v="0"/>
    <n v="45.62"/>
    <s v="MR_ON SandT Commercial FX"/>
    <s v="H10041277"/>
    <s v="BO-BO Confirmed"/>
    <n v="-255380.269694758"/>
    <n v="0"/>
    <n v="-255380.269694758"/>
  </r>
  <r>
    <n v="8601465"/>
    <s v="FX Fwd"/>
    <d v="2020-07-02T09:30:18"/>
    <d v="2020-08-31T00:00:00"/>
    <s v="H.VAULBERT DE CHANTILLY LTD(HVC LTD)"/>
    <s v="H.VAULBERT DE CHANTILLY LTD(HVC LTD)"/>
    <s v="Sell"/>
    <n v="-75000"/>
    <x v="1"/>
    <n v="3418500"/>
    <x v="0"/>
    <n v="45.58"/>
    <s v="MR_ON SandT Commercial FX"/>
    <s v="H10041277"/>
    <s v="BO-BO Confirmed"/>
    <n v="-103894.546046123"/>
    <n v="0"/>
    <n v="-103894.546046123"/>
  </r>
  <r>
    <n v="8505926"/>
    <s v="FX Fwd"/>
    <d v="2020-06-10T10:28:13"/>
    <d v="2020-11-10T00:00:00"/>
    <s v="MESH AND STEEL TRADING LTD"/>
    <s v="MESH AND STEEL TRADING LTD"/>
    <s v="Sell"/>
    <n v="-100000"/>
    <x v="0"/>
    <n v="4015000"/>
    <x v="0"/>
    <n v="40.15"/>
    <s v="MR_ON SandT CIB_FX"/>
    <s v="G01884883"/>
    <s v="BO-BO Confirmed"/>
    <n v="19850.381870740599"/>
    <n v="0"/>
    <n v="19850.381870740599"/>
  </r>
  <r>
    <n v="8505326"/>
    <s v="FX Fwd"/>
    <d v="2020-06-10T09:30:41"/>
    <d v="2020-11-10T00:00:00"/>
    <s v="MESH AND STEEL TRADING LTD"/>
    <s v="MESH AND STEEL TRADING LTD"/>
    <s v="Sell"/>
    <n v="-150000"/>
    <x v="0"/>
    <n v="6022500"/>
    <x v="0"/>
    <n v="40.15"/>
    <s v="MR_ON SandT CIB_FX"/>
    <s v="G01884883"/>
    <s v="BO-BO Confirmed"/>
    <n v="29775.572806111501"/>
    <n v="0"/>
    <n v="29775.572806111501"/>
  </r>
  <r>
    <n v="8497262"/>
    <s v="FX Fwd"/>
    <d v="2020-06-08T11:28:38"/>
    <d v="2020-09-21T00:00:00"/>
    <s v="MRC WIRE PRODUCTS LTD"/>
    <s v="MRC WIRE PRODUCTS LTD"/>
    <s v="Sell"/>
    <n v="-80000"/>
    <x v="0"/>
    <n v="3216000"/>
    <x v="0"/>
    <n v="40.200000000000003"/>
    <s v="MR_ON SandT CIB_FX"/>
    <s v="G01884883"/>
    <s v="BO-BO Confirmed"/>
    <n v="24892.978447438702"/>
    <n v="0"/>
    <n v="24892.978447438702"/>
  </r>
  <r>
    <n v="8487532"/>
    <s v="FX Fwd"/>
    <d v="2020-06-04T12:47:41"/>
    <d v="2020-11-10T00:00:00"/>
    <s v="TIANLI SPINNING (MAURITIUS) CO LTD"/>
    <s v="TIANLI SPINNING (MAURITIUS) CO LTD"/>
    <s v="Buy"/>
    <n v="400000"/>
    <x v="0"/>
    <n v="-15880000"/>
    <x v="0"/>
    <n v="39.700000000000003"/>
    <s v="MR_ON SandT CIB_FX"/>
    <s v="H10042101"/>
    <s v="BO-BO Confirmed"/>
    <n v="100035.967946889"/>
    <n v="0"/>
    <n v="100035.967946889"/>
  </r>
  <r>
    <n v="8487498"/>
    <s v="FX Fwd"/>
    <d v="2020-06-04T12:44:35"/>
    <d v="2020-10-12T00:00:00"/>
    <s v="TIANLI SPINNING (MAURITIUS) CO LTD"/>
    <s v="TIANLI SPINNING (MAURITIUS) CO LTD"/>
    <s v="Buy"/>
    <n v="400000"/>
    <x v="0"/>
    <n v="-15880000"/>
    <x v="0"/>
    <n v="39.700000000000003"/>
    <s v="MR_ON SandT CIB_FX"/>
    <s v="H10042101"/>
    <s v="BO-BO Confirmed"/>
    <n v="85820.2695454676"/>
    <n v="0"/>
    <n v="85820.2695454676"/>
  </r>
  <r>
    <n v="8487474"/>
    <s v="FX Fwd"/>
    <d v="2020-06-04T12:41:18"/>
    <d v="2020-09-10T00:00:00"/>
    <s v="TIANLI SPINNING (MAURITIUS) CO LTD"/>
    <s v="TIANLI SPINNING (MAURITIUS) CO LTD"/>
    <s v="Buy"/>
    <n v="400000"/>
    <x v="0"/>
    <n v="-15900000"/>
    <x v="0"/>
    <n v="39.75"/>
    <s v="MR_ON SandT CIB_FX"/>
    <s v="H10042101"/>
    <s v="BO-BO Confirmed"/>
    <n v="49590.901774676502"/>
    <n v="0"/>
    <n v="49590.901774676502"/>
  </r>
  <r>
    <n v="8181377"/>
    <s v="FX Fwd"/>
    <d v="2020-03-19T09:18:08"/>
    <d v="2020-10-15T00:00:00"/>
    <s v="MAURITIUS SUGAR SYNDICATE"/>
    <s v="MAURITIUS SUGAR SYNDICATE"/>
    <s v="Buy"/>
    <n v="500000"/>
    <x v="1"/>
    <n v="-21625000"/>
    <x v="0"/>
    <n v="43.25"/>
    <s v="MR_ON SandT CIB_FX"/>
    <s v="A94100698"/>
    <s v="BO-BO Confirmed"/>
    <n v="1909578.70552474"/>
    <n v="0"/>
    <n v="1909578.70552474"/>
  </r>
  <r>
    <n v="8180830"/>
    <s v="FX Fwd"/>
    <d v="2020-03-19T08:19:47"/>
    <d v="2020-10-15T00:00:00"/>
    <s v="MAURITIUS SUGAR SYNDICATE"/>
    <s v="MAURITIUS SUGAR SYNDICATE"/>
    <s v="Buy"/>
    <n v="500000"/>
    <x v="0"/>
    <n v="-19825000"/>
    <x v="0"/>
    <n v="39.65"/>
    <s v="MR_ON SandT CIB_FX"/>
    <s v="A94100698"/>
    <s v="BO-BO Confirmed"/>
    <n v="134071.93047206101"/>
    <n v="0"/>
    <n v="134071.93047206101"/>
  </r>
  <r>
    <n v="8159760"/>
    <s v="FX Fwd"/>
    <d v="2020-03-16T06:39:04"/>
    <d v="2020-10-15T00:00:00"/>
    <s v="MAURITIUS SUGAR SYNDICATE"/>
    <s v="MAURITIUS SUGAR SYNDICATE"/>
    <s v="Buy"/>
    <n v="1000000"/>
    <x v="1"/>
    <n v="-43400000"/>
    <x v="0"/>
    <n v="43.4"/>
    <s v="MR_ON SandT CIB_FX"/>
    <s v="A94100698"/>
    <s v="BO-BO Confirmed"/>
    <n v="3669473.9334960799"/>
    <n v="0"/>
    <n v="3669473.9334960799"/>
  </r>
  <r>
    <n v="8152459"/>
    <s v="FX Fwd"/>
    <d v="2020-03-13T07:04:20"/>
    <d v="2020-12-09T00:00:00"/>
    <s v="ESQUEL (MAURITIUS) LTD"/>
    <s v="ESQUEL (MAURITIUS) LTD"/>
    <s v="Buy"/>
    <n v="500000"/>
    <x v="0"/>
    <n v="-19000000"/>
    <x v="0"/>
    <n v="38"/>
    <s v="MR_ON SandT CIB_FX"/>
    <s v="G01201900"/>
    <s v="BO-BO Confirmed"/>
    <n v="990443.90682525898"/>
    <n v="0"/>
    <n v="990443.90682525898"/>
  </r>
  <r>
    <n v="8152444"/>
    <s v="FX Fwd"/>
    <d v="2020-03-13T07:02:22"/>
    <d v="2020-12-03T00:00:00"/>
    <s v="ESQUEL (MAURITIUS) LTD"/>
    <s v="ESQUEL (MAURITIUS) LTD"/>
    <s v="Buy"/>
    <n v="500000"/>
    <x v="0"/>
    <n v="-19000000"/>
    <x v="0"/>
    <n v="38"/>
    <s v="MR_ON SandT CIB_FX"/>
    <s v="G01201900"/>
    <s v="BO-BO Confirmed"/>
    <n v="986336.04579358199"/>
    <n v="0"/>
    <n v="986336.04579358199"/>
  </r>
  <r>
    <n v="8133646"/>
    <s v="FX Fwd"/>
    <d v="2020-03-11T06:08:49"/>
    <d v="2020-09-18T00:00:00"/>
    <s v="MAURITIUS SUGAR SYNDICATE"/>
    <s v="MAURITIUS SUGAR SYNDICATE"/>
    <s v="Buy"/>
    <n v="1000000"/>
    <x v="0"/>
    <n v="-37700000"/>
    <x v="0"/>
    <n v="37.700000000000202"/>
    <s v="MR_ON SandT CIB_FX"/>
    <s v="A94100698"/>
    <s v="BO-BO Confirmed"/>
    <n v="2182250.1909133298"/>
    <n v="0"/>
    <n v="2182250.1909133298"/>
  </r>
  <r>
    <n v="8133631"/>
    <s v="FX Fwd"/>
    <d v="2020-03-11T06:06:17"/>
    <d v="2020-10-15T00:00:00"/>
    <s v="MAURITIUS SUGAR SYNDICATE"/>
    <s v="MAURITIUS SUGAR SYNDICATE"/>
    <s v="Buy"/>
    <n v="1000000"/>
    <x v="1"/>
    <n v="-43200000"/>
    <x v="0"/>
    <n v="43.2"/>
    <s v="MR_ON SandT CIB_FX"/>
    <s v="A94100698"/>
    <s v="BO-BO Confirmed"/>
    <n v="3869051.9035672802"/>
    <n v="0"/>
    <n v="3869051.9035672802"/>
  </r>
  <r>
    <n v="8131218"/>
    <s v="FX Fwd"/>
    <d v="2020-03-10T12:14:40"/>
    <d v="2020-09-30T00:00:00"/>
    <s v="MAURITIUS SUGAR SYNDICATE"/>
    <s v="MAURITIUS SUGAR SYNDICATE"/>
    <s v="Buy"/>
    <n v="1000000"/>
    <x v="1"/>
    <n v="-43100000"/>
    <x v="0"/>
    <n v="43.1"/>
    <s v="MR_ON SandT CIB_FX"/>
    <s v="A94100698"/>
    <s v="BO-BO Confirmed"/>
    <n v="3934924.8681038599"/>
    <n v="0"/>
    <n v="3934924.8681038599"/>
  </r>
  <r>
    <n v="8119905"/>
    <s v="FX Fwd"/>
    <d v="2020-03-09T05:48:03"/>
    <d v="2020-12-15T00:00:00"/>
    <s v="ABC MOTORS LTD"/>
    <s v="ABC MOTORS LTD"/>
    <s v="Sell"/>
    <n v="-1000000"/>
    <x v="3"/>
    <n v="2240000"/>
    <x v="0"/>
    <n v="2.2400000000000002"/>
    <s v="MR_ON SandT CIB_FX"/>
    <s v="A94100698"/>
    <s v="BO-BO Confirmed"/>
    <n v="-54100.8511912506"/>
    <n v="0"/>
    <n v="-54100.8511912506"/>
  </r>
  <r>
    <n v="8114992"/>
    <s v="FX Fwd"/>
    <d v="2020-03-06T05:50:18"/>
    <d v="2020-09-30T00:00:00"/>
    <s v="MAURITIUS SUGAR SYNDICATE"/>
    <s v="MAURITIUS SUGAR SYNDICATE"/>
    <s v="Buy"/>
    <n v="1000000"/>
    <x v="1"/>
    <n v="-42150000"/>
    <x v="0"/>
    <n v="42.15"/>
    <s v="MR_ON SandT CIB_FX"/>
    <s v="A94100698"/>
    <s v="BO-BO Confirmed"/>
    <n v="4883471.8174771797"/>
    <n v="0"/>
    <n v="4883471.8174771797"/>
  </r>
  <r>
    <n v="8080331"/>
    <s v="FX Fwd"/>
    <d v="2020-03-02T08:48:59"/>
    <d v="2020-09-30T00:00:00"/>
    <s v="ABSA BANK"/>
    <m/>
    <s v="Buy"/>
    <n v="735000"/>
    <x v="1"/>
    <n v="-30847950"/>
    <x v="0"/>
    <n v="41.97"/>
    <s v="MR_ON SandT FXMarkets"/>
    <s v="G44529946"/>
    <s v="BO-BO Confirmed"/>
    <n v="3721449.4294268698"/>
    <n v="0"/>
    <n v="3721449.4294268698"/>
  </r>
  <r>
    <n v="8079226"/>
    <s v="FX Fwd"/>
    <d v="2020-03-02T07:01:51"/>
    <d v="2020-10-07T00:00:00"/>
    <s v="AZUR FINANCIAL SERVICES LTD"/>
    <s v="AZUR FINANCIAL SERVICES LTD"/>
    <s v="Sell"/>
    <n v="-500000"/>
    <x v="0"/>
    <n v="18775000"/>
    <x v="0"/>
    <n v="37.549999999999997"/>
    <s v="MR_ON SandT CIB_FX"/>
    <s v="A94100042"/>
    <s v="BO-BO Confirmed"/>
    <n v="-1177247.65346443"/>
    <n v="0"/>
    <n v="-1177247.65346443"/>
  </r>
  <r>
    <n v="8079058"/>
    <s v="FX Fwd"/>
    <d v="2020-03-02T06:31:31"/>
    <d v="2020-10-07T00:00:00"/>
    <s v="AZUR FINANCIAL SERVICES LTD"/>
    <s v="AZUR FINANCIAL SERVICES LTD"/>
    <s v="Sell"/>
    <n v="-500000"/>
    <x v="0"/>
    <n v="18775000"/>
    <x v="0"/>
    <n v="37.549999999999997"/>
    <s v="MR_ON SandT CIB_FX"/>
    <s v="A94100042"/>
    <s v="BO-BO Confirmed"/>
    <n v="-1177247.65346443"/>
    <n v="0"/>
    <n v="-1177247.65346443"/>
  </r>
  <r>
    <n v="8072214"/>
    <s v="FX Fwd"/>
    <d v="2020-02-28T08:05:21"/>
    <d v="2020-10-06T00:00:00"/>
    <s v="AZUR FINANCIAL SERVICES LTD"/>
    <s v="AZUR FINANCIAL SERVICES LTD"/>
    <s v="Sell"/>
    <n v="-500000"/>
    <x v="0"/>
    <n v="18805000"/>
    <x v="0"/>
    <n v="37.61"/>
    <s v="MR_ON SandT CIB_FX"/>
    <s v="A94100698"/>
    <s v="BO-BO Confirmed"/>
    <n v="-1146721.6672360101"/>
    <n v="0"/>
    <n v="-1146721.6672360101"/>
  </r>
  <r>
    <n v="8062038"/>
    <s v="FX Fwd"/>
    <d v="2020-02-27T09:38:45"/>
    <d v="2020-09-30T00:00:00"/>
    <s v="AZUR FINANCIAL SERVICES LTD"/>
    <s v="AZUR FINANCIAL SERVICES LTD"/>
    <s v="Sell"/>
    <n v="-500000"/>
    <x v="0"/>
    <n v="18865000"/>
    <x v="0"/>
    <n v="37.729999999999997"/>
    <s v="MR_ON SandT CIB_FX"/>
    <s v="A94100698"/>
    <s v="BO-BO Confirmed"/>
    <n v="-1083316.56591132"/>
    <n v="0"/>
    <n v="-1083316.56591132"/>
  </r>
  <r>
    <n v="8061545"/>
    <s v="FX Fwd"/>
    <d v="2020-02-27T08:49:41"/>
    <d v="2020-10-05T00:00:00"/>
    <s v="AZUR FINANCIAL SERVICES LTD"/>
    <s v="AZUR FINANCIAL SERVICES LTD"/>
    <s v="Sell"/>
    <n v="-500000"/>
    <x v="0"/>
    <n v="18865000"/>
    <x v="0"/>
    <n v="37.729999999999997"/>
    <s v="MR_ON SandT CIB_FX"/>
    <s v="A94100698"/>
    <s v="BO-BO Confirmed"/>
    <n v="-1086244.30322725"/>
    <n v="0"/>
    <n v="-1086244.30322725"/>
  </r>
  <r>
    <n v="8055715"/>
    <s v="FX Fwd"/>
    <d v="2020-02-26T11:10:39"/>
    <d v="2020-10-05T00:00:00"/>
    <s v="AZUR FINANCIAL SERVICES LTD"/>
    <s v="AZUR FINANCIAL SERVICES LTD"/>
    <s v="Sell"/>
    <n v="-500000"/>
    <x v="0"/>
    <n v="18885000"/>
    <x v="0"/>
    <n v="37.770000000000003"/>
    <s v="MR_ON SandT CIB_FX"/>
    <s v="G01884883"/>
    <s v="BO-BO Confirmed"/>
    <n v="-1066278.75605541"/>
    <n v="0"/>
    <n v="-1066278.75605541"/>
  </r>
  <r>
    <n v="8053975"/>
    <s v="FX Fwd"/>
    <d v="2020-02-26T08:37:04"/>
    <d v="2020-10-05T00:00:00"/>
    <s v="AZUR FINANCIAL SERVICES LTD"/>
    <s v="AZUR FINANCIAL SERVICES LTD"/>
    <s v="Sell"/>
    <n v="-1000000"/>
    <x v="0"/>
    <n v="37775000"/>
    <x v="0"/>
    <n v="37.774999999999999"/>
    <s v="MR_ON SandT CIB_FX"/>
    <s v="A94100698"/>
    <s v="BO-BO Confirmed"/>
    <n v="-2127566.1253178599"/>
    <n v="0"/>
    <n v="-2127566.1253178599"/>
  </r>
  <r>
    <n v="8034484"/>
    <s v="FX Fwd"/>
    <d v="2020-02-20T09:46:19"/>
    <d v="2020-09-30T00:00:00"/>
    <s v="ABSA BANK"/>
    <m/>
    <s v="Buy"/>
    <n v="730000"/>
    <x v="1"/>
    <n v="-30192800"/>
    <x v="0"/>
    <n v="41.36"/>
    <s v="MR_ON SandT FXMarkets"/>
    <s v="G44529946"/>
    <s v="BO-BO Confirmed"/>
    <n v="4140752.3485515998"/>
    <n v="0"/>
    <n v="4140752.3485515998"/>
  </r>
  <r>
    <n v="8034234"/>
    <s v="FX Fwd"/>
    <d v="2020-02-20T09:21:53"/>
    <d v="2020-08-28T00:00:00"/>
    <s v="MAURITIUS SUGAR SYNDICATE"/>
    <s v="MAURITIUS SUGAR SYNDICATE"/>
    <s v="Buy"/>
    <n v="1000000"/>
    <x v="1"/>
    <n v="-41250000"/>
    <x v="0"/>
    <n v="41.25"/>
    <s v="MR_ON SandT CIB_FX"/>
    <s v="G01201900"/>
    <s v="BO-BO Confirmed"/>
    <n v="5706291.0667302497"/>
    <n v="0"/>
    <n v="5706291.0667302497"/>
  </r>
  <r>
    <n v="8026628"/>
    <s v="FX Fwd"/>
    <d v="2020-02-19T06:56:29"/>
    <d v="2020-10-15T00:00:00"/>
    <s v="ESQUEL (MAURITIUS) LTD"/>
    <s v="ESQUEL (MAURITIUS) LTD"/>
    <s v="Buy"/>
    <n v="500000"/>
    <x v="0"/>
    <n v="-18725000"/>
    <x v="0"/>
    <n v="37.450000000000003"/>
    <s v="MR_ON SandT CIB_FX"/>
    <s v="G01201900"/>
    <s v="BO-BO Confirmed"/>
    <n v="1231750.76586365"/>
    <n v="0"/>
    <n v="1231750.76586365"/>
  </r>
  <r>
    <n v="8026610"/>
    <s v="FX Fwd"/>
    <d v="2020-02-19T06:53:35"/>
    <d v="2020-11-06T00:00:00"/>
    <s v="ESQUEL (MAURITIUS) LTD"/>
    <s v="ESQUEL (MAURITIUS) LTD"/>
    <s v="Buy"/>
    <n v="500000"/>
    <x v="0"/>
    <n v="-18750000"/>
    <x v="0"/>
    <n v="37.5"/>
    <s v="MR_ON SandT CIB_FX"/>
    <s v="G01201900"/>
    <s v="BO-BO Confirmed"/>
    <n v="1219338.5218082301"/>
    <n v="0"/>
    <n v="1219338.5218082301"/>
  </r>
  <r>
    <n v="8021873"/>
    <s v="FX Fwd"/>
    <d v="2020-02-18T06:38:09"/>
    <d v="2020-10-06T00:00:00"/>
    <s v="ESQUEL (MAURITIUS) LTD"/>
    <s v="ESQUEL (MAURITIUS) LTD"/>
    <s v="Buy"/>
    <n v="500000"/>
    <x v="0"/>
    <n v="-18675000"/>
    <x v="0"/>
    <n v="37.35"/>
    <s v="MR_ON SandT CIB_FX"/>
    <s v="G01884883"/>
    <s v="BO-BO Confirmed"/>
    <n v="1276492.6962224001"/>
    <n v="0"/>
    <n v="1276492.6962224001"/>
  </r>
  <r>
    <n v="8018285"/>
    <s v="FX Fwd"/>
    <d v="2020-02-17T09:54:10"/>
    <d v="2020-09-16T00:00:00"/>
    <s v="ESQUEL (MAURITIUS) LTD"/>
    <s v="ESQUEL (MAURITIUS) LTD"/>
    <s v="Buy"/>
    <n v="500000"/>
    <x v="0"/>
    <n v="-18650000"/>
    <x v="0"/>
    <n v="37.299999999999997"/>
    <s v="MR_ON SandT CIB_FX"/>
    <s v="G01884883"/>
    <s v="BO-BO Confirmed"/>
    <n v="1289708.7961832101"/>
    <n v="0"/>
    <n v="1289708.7961832101"/>
  </r>
  <r>
    <n v="7987528"/>
    <s v="FX Fwd"/>
    <d v="2020-02-10T11:15:20"/>
    <d v="2021-01-15T00:00:00"/>
    <s v="BANK ONE"/>
    <m/>
    <s v="Sell"/>
    <n v="-895094.88"/>
    <x v="1"/>
    <n v="1000000"/>
    <x v="1"/>
    <n v="1.1172"/>
    <s v="MR_ON SandT FXMarkets Fwds"/>
    <s v="G01058632"/>
    <s v="BO-BO Confirmed"/>
    <n v="-2301117.80759267"/>
    <n v="0"/>
    <n v="-2301117.80759267"/>
  </r>
  <r>
    <n v="7987200"/>
    <s v="FX Fwd"/>
    <d v="2020-02-10T10:39:01"/>
    <d v="2021-01-15T00:00:00"/>
    <s v="ABSA BANK"/>
    <m/>
    <s v="Buy"/>
    <n v="895288.01"/>
    <x v="1"/>
    <n v="-1000000"/>
    <x v="1"/>
    <n v="1.116959"/>
    <s v="MR_ON SandT FXMarkets"/>
    <s v="G01058632"/>
    <s v="BO-BO Confirmed"/>
    <n v="2310202.8776354901"/>
    <n v="0"/>
    <n v="2310202.8776354901"/>
  </r>
  <r>
    <n v="7979734"/>
    <s v="FX Fwd"/>
    <d v="2020-02-07T06:15:16"/>
    <d v="2020-09-03T00:00:00"/>
    <s v="ESQUEL (MAURITIUS) LTD"/>
    <s v="ESQUEL (MAURITIUS) LTD"/>
    <s v="Buy"/>
    <n v="500000"/>
    <x v="0"/>
    <n v="-18425000"/>
    <x v="0"/>
    <n v="36.85"/>
    <s v="MR_ON SandT CIB_FX"/>
    <s v="A94100698"/>
    <s v="BO-BO Confirmed"/>
    <n v="1506601.7363742201"/>
    <n v="0"/>
    <n v="1506601.7363742201"/>
  </r>
  <r>
    <n v="7979729"/>
    <s v="FX Fwd"/>
    <d v="2020-02-07T06:14:17"/>
    <d v="2020-09-16T00:00:00"/>
    <s v="ESQUEL (MAURITIUS) LTD"/>
    <s v="ESQUEL (MAURITIUS) LTD"/>
    <s v="Buy"/>
    <n v="500000"/>
    <x v="0"/>
    <n v="-18425000"/>
    <x v="0"/>
    <n v="36.85"/>
    <s v="MR_ON SandT CIB_FX"/>
    <s v="A94100698"/>
    <s v="BO-BO Confirmed"/>
    <n v="1514486.2094833299"/>
    <n v="0"/>
    <n v="1514486.2094833299"/>
  </r>
  <r>
    <n v="7925613"/>
    <s v="FX Fwd"/>
    <d v="2020-01-24T05:29:25"/>
    <d v="2020-09-03T00:00:00"/>
    <s v="ESQUEL (MAURITIUS) LTD"/>
    <s v="ESQUEL (MAURITIUS) LTD"/>
    <s v="Buy"/>
    <n v="1000000"/>
    <x v="0"/>
    <n v="-36650000"/>
    <x v="0"/>
    <n v="36.65"/>
    <s v="MR_ON SandT CIB_FX"/>
    <s v="A94100698"/>
    <s v="BO-BO Confirmed"/>
    <n v="3213105.0956626898"/>
    <n v="0"/>
    <n v="3213105.0956626898"/>
  </r>
  <r>
    <n v="7906309"/>
    <s v="FX Fwd"/>
    <d v="2020-01-20T10:49:22"/>
    <d v="2020-12-09T00:00:00"/>
    <s v="LAFARGE"/>
    <s v="LAFARGE"/>
    <s v="Sell"/>
    <n v="-400000"/>
    <x v="0"/>
    <n v="14732000"/>
    <x v="0"/>
    <n v="36.83"/>
    <s v="MR_ON SandT CIB_FX"/>
    <s v="A94100698"/>
    <s v="BO-BO Confirmed"/>
    <n v="-1258325.2282099"/>
    <n v="0"/>
    <n v="-1258325.2282099"/>
  </r>
  <r>
    <n v="7906297"/>
    <s v="FX Fwd"/>
    <d v="2020-01-20T10:48:00"/>
    <d v="2020-11-09T00:00:00"/>
    <s v="LAFARGE"/>
    <s v="LAFARGE"/>
    <s v="Sell"/>
    <n v="-400000"/>
    <x v="0"/>
    <n v="14720000"/>
    <x v="0"/>
    <n v="36.799999999999997"/>
    <s v="MR_ON SandT CIB_FX"/>
    <s v="A94100698"/>
    <s v="BO-BO Confirmed"/>
    <n v="-1255968.3053464601"/>
    <n v="0"/>
    <n v="-1255968.3053464601"/>
  </r>
  <r>
    <n v="7906285"/>
    <s v="FX Fwd"/>
    <d v="2020-01-20T10:46:44"/>
    <d v="2020-10-09T00:00:00"/>
    <s v="LAFARGE"/>
    <s v="LAFARGE"/>
    <s v="Sell"/>
    <n v="-400000"/>
    <x v="0"/>
    <n v="14720000"/>
    <x v="0"/>
    <n v="36.799999999999997"/>
    <s v="MR_ON SandT CIB_FX"/>
    <s v="A94100698"/>
    <s v="BO-BO Confirmed"/>
    <n v="-1242159.37131314"/>
    <n v="0"/>
    <n v="-1242159.37131314"/>
  </r>
  <r>
    <n v="7906264"/>
    <s v="FX Fwd"/>
    <d v="2020-01-20T10:45:06"/>
    <d v="2020-09-14T00:00:00"/>
    <s v="LAFARGE"/>
    <s v="LAFARGE"/>
    <s v="Sell"/>
    <n v="-700000"/>
    <x v="0"/>
    <n v="25760000"/>
    <x v="0"/>
    <n v="36.799999999999997"/>
    <s v="MR_ON SandT CIB_FX"/>
    <s v="A94100698"/>
    <s v="BO-BO Confirmed"/>
    <n v="-2153579.5350515"/>
    <n v="0"/>
    <n v="-2153579.5350515"/>
  </r>
  <r>
    <n v="5510100"/>
    <s v="FX Fwd"/>
    <d v="2018-06-15T05:28:37"/>
    <d v="2021-06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62155.362726299798"/>
    <n v="0"/>
    <n v="-62155.362726299798"/>
  </r>
  <r>
    <n v="5507458"/>
    <s v="FX Fwd"/>
    <d v="2018-06-14T10:44:06"/>
    <d v="2023-06-12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33392.93583966701"/>
    <n v="0"/>
    <n v="-133392.93583966701"/>
  </r>
  <r>
    <n v="5507425"/>
    <s v="FX Fwd"/>
    <d v="2018-06-14T10:41:07"/>
    <d v="2023-05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29750.49153114"/>
    <n v="0"/>
    <n v="-129750.49153114"/>
  </r>
  <r>
    <n v="5507416"/>
    <s v="FX Fwd"/>
    <d v="2018-06-14T10:40:11"/>
    <d v="2023-04-11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26586.41669222699"/>
    <n v="0"/>
    <n v="-126586.41669222699"/>
  </r>
  <r>
    <n v="5507410"/>
    <s v="FX Fwd"/>
    <d v="2018-06-14T10:39:02"/>
    <d v="2023-03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23135.223221106"/>
    <n v="0"/>
    <n v="-123135.223221106"/>
  </r>
  <r>
    <n v="5507404"/>
    <s v="FX Fwd"/>
    <d v="2018-06-14T10:38:12"/>
    <d v="2023-02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20150.219737495"/>
    <n v="0"/>
    <n v="-120150.219737495"/>
  </r>
  <r>
    <n v="5507396"/>
    <s v="FX Fwd"/>
    <d v="2018-06-14T10:36:36"/>
    <d v="2023-01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16883.53491669901"/>
    <n v="0"/>
    <n v="-116883.53491669901"/>
  </r>
  <r>
    <n v="5507392"/>
    <s v="FX Fwd"/>
    <d v="2018-06-14T10:35:02"/>
    <d v="2022-12-12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13864.17655377901"/>
    <n v="0"/>
    <n v="-113864.17655377901"/>
  </r>
  <r>
    <n v="5507348"/>
    <s v="FX Fwd"/>
    <d v="2018-06-14T10:27:35"/>
    <d v="2022-11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10573.889896444"/>
    <n v="0"/>
    <n v="-110573.889896444"/>
  </r>
  <r>
    <n v="5507327"/>
    <s v="FX Fwd"/>
    <d v="2018-06-14T10:25:52"/>
    <d v="2022-10-11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07529.131503806"/>
    <n v="0"/>
    <n v="-107529.131503806"/>
  </r>
  <r>
    <n v="5507316"/>
    <s v="FX Fwd"/>
    <d v="2018-06-14T10:24:06"/>
    <d v="2022-09-12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04622.985387817"/>
    <n v="0"/>
    <n v="-104622.985387817"/>
  </r>
  <r>
    <n v="5507289"/>
    <s v="FX Fwd"/>
    <d v="2018-06-14T10:21:50"/>
    <d v="2022-08-11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101280.673850473"/>
    <n v="0"/>
    <n v="-101280.673850473"/>
  </r>
  <r>
    <n v="5507279"/>
    <s v="FX Fwd"/>
    <d v="2018-06-14T10:20:41"/>
    <d v="2022-07-11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97888.802944810901"/>
    <n v="0"/>
    <n v="-97888.802944810901"/>
  </r>
  <r>
    <n v="5507266"/>
    <s v="FX Fwd"/>
    <d v="2018-06-14T10:19:29"/>
    <d v="2022-06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94574.445151914595"/>
    <n v="0"/>
    <n v="-94574.445151914595"/>
  </r>
  <r>
    <n v="5507245"/>
    <s v="FX Fwd"/>
    <d v="2018-06-14T10:17:54"/>
    <d v="2022-05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91338.108634605"/>
    <n v="0"/>
    <n v="-91338.108634605"/>
  </r>
  <r>
    <n v="5507229"/>
    <s v="FX Fwd"/>
    <d v="2018-06-14T10:16:26"/>
    <d v="2022-04-11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88381.558838779107"/>
    <n v="0"/>
    <n v="-88381.558838779107"/>
  </r>
  <r>
    <n v="5507207"/>
    <s v="FX Fwd"/>
    <d v="2018-06-14T10:14:14"/>
    <d v="2022-03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85201.4564431381"/>
    <n v="0"/>
    <n v="-85201.4564431381"/>
  </r>
  <r>
    <n v="5507183"/>
    <s v="FX Fwd"/>
    <d v="2018-06-14T10:12:46"/>
    <d v="2022-02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82491.173506542706"/>
    <n v="0"/>
    <n v="-82491.173506542706"/>
  </r>
  <r>
    <n v="5506958"/>
    <s v="FX Fwd"/>
    <d v="2018-06-14T10:11:05"/>
    <d v="2022-01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79568.326244573604"/>
    <n v="0"/>
    <n v="-79568.326244573604"/>
  </r>
  <r>
    <n v="5506939"/>
    <s v="FX Fwd"/>
    <d v="2018-06-14T10:08:27"/>
    <d v="2021-12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76731.560644925994"/>
    <n v="0"/>
    <n v="-76731.560644925994"/>
  </r>
  <r>
    <n v="5506923"/>
    <s v="FX Fwd"/>
    <d v="2018-06-14T10:07:14"/>
    <d v="2021-11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74071.883429626003"/>
    <n v="0"/>
    <n v="-74071.883429626003"/>
  </r>
  <r>
    <n v="5506897"/>
    <s v="FX Fwd"/>
    <d v="2018-06-14T10:04:32"/>
    <d v="2021-10-12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71580.195271109202"/>
    <n v="0"/>
    <n v="-71580.195271109202"/>
  </r>
  <r>
    <n v="5506854"/>
    <s v="FX Fwd"/>
    <d v="2018-06-14T10:01:36"/>
    <d v="2021-09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68919.014302626107"/>
    <n v="0"/>
    <n v="-68919.014302626107"/>
  </r>
  <r>
    <n v="5506622"/>
    <s v="FX Fwd"/>
    <d v="2018-06-14T09:30:45"/>
    <d v="2021-08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66514.255071325795"/>
    <n v="0"/>
    <n v="-66514.255071325795"/>
  </r>
  <r>
    <n v="5506610"/>
    <s v="FX Fwd"/>
    <d v="2018-06-14T09:28:55"/>
    <d v="2021-07-12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64409.483803869101"/>
    <n v="0"/>
    <n v="-64409.483803869101"/>
  </r>
  <r>
    <n v="5506525"/>
    <s v="FX Fwd"/>
    <d v="2018-06-14T09:20:03"/>
    <d v="2021-05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60113.846353896901"/>
    <n v="0"/>
    <n v="-60113.846353896901"/>
  </r>
  <r>
    <n v="5506509"/>
    <s v="FX Fwd"/>
    <d v="2018-06-14T09:18:34"/>
    <d v="2021-04-12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58386.629259221401"/>
    <n v="0"/>
    <n v="-58386.629259221401"/>
  </r>
  <r>
    <n v="5506502"/>
    <s v="FX Fwd"/>
    <d v="2018-06-14T09:16:58"/>
    <d v="2021-03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56343.385439081401"/>
    <n v="0"/>
    <n v="-56343.385439081401"/>
  </r>
  <r>
    <n v="5506491"/>
    <s v="FX Fwd"/>
    <d v="2018-06-14T09:15:15"/>
    <d v="2021-02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54460.8000159515"/>
    <n v="0"/>
    <n v="-54460.8000159515"/>
  </r>
  <r>
    <n v="5506466"/>
    <s v="FX Fwd"/>
    <d v="2018-06-14T09:13:20"/>
    <d v="2021-01-11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52346.4758988295"/>
    <n v="0"/>
    <n v="-52346.4758988295"/>
  </r>
  <r>
    <n v="5506322"/>
    <s v="FX Fwd"/>
    <d v="2018-06-14T08:55:18"/>
    <d v="2020-12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50264.3844670978"/>
    <n v="0"/>
    <n v="-50264.3844670978"/>
  </r>
  <r>
    <n v="5506318"/>
    <s v="FX Fwd"/>
    <d v="2018-06-14T08:54:24"/>
    <d v="2020-11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48584.769811022998"/>
    <n v="0"/>
    <n v="-48584.769811022998"/>
  </r>
  <r>
    <n v="5506309"/>
    <s v="FX Fwd"/>
    <d v="2018-06-14T08:53:15"/>
    <d v="2020-10-13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47120.974980838"/>
    <n v="0"/>
    <n v="-47120.974980838"/>
  </r>
  <r>
    <n v="5506303"/>
    <s v="FX Fwd"/>
    <d v="2018-06-14T08:51:59"/>
    <d v="2020-09-10T00:00:00"/>
    <s v="BH PROPERTY INVESTMENTS LTD"/>
    <s v="BH PROPERTY INVESTMENTS LTD"/>
    <s v="Sell"/>
    <n v="-22246.94"/>
    <x v="1"/>
    <n v="1000000"/>
    <x v="0"/>
    <n v="44.95"/>
    <s v="MR_ON SandT CIB_FX"/>
    <s v="G01049329"/>
    <s v="BO-BO Confirmed"/>
    <n v="-45381.038713861002"/>
    <n v="0"/>
    <n v="-45381.038713861002"/>
  </r>
  <r>
    <n v="8816340"/>
    <s v="FX Spot"/>
    <d v="2020-08-21T12:12:09"/>
    <d v="2020-08-25T00:00:00"/>
    <s v="BARCLAYS BANK PLC LONDON"/>
    <m/>
    <s v="Buy"/>
    <n v="3406.21"/>
    <x v="0"/>
    <n v="-30000"/>
    <x v="2"/>
    <n v="8.8074399999999997"/>
    <s v="MR_ON SandT FXMarkets"/>
    <s v="G44529946"/>
    <s v="BO-BO Confirmed"/>
    <n v="-178.98707933811201"/>
    <n v="0"/>
    <n v="-178.98707933811201"/>
  </r>
  <r>
    <n v="8816339"/>
    <s v="FX Spot"/>
    <d v="2020-08-21T12:11:32"/>
    <d v="2020-08-25T00:00:00"/>
    <s v="BARCLAYS BANK PLC LONDON"/>
    <m/>
    <s v="Sell"/>
    <n v="-23624.799999999999"/>
    <x v="0"/>
    <n v="2500000"/>
    <x v="3"/>
    <n v="105.821"/>
    <s v="MR_ON SandT FXMarkets"/>
    <s v="G44529946"/>
    <s v="BO-BO Confirmed"/>
    <n v="765.67446590366296"/>
    <n v="0"/>
    <n v="765.67446590366296"/>
  </r>
  <r>
    <n v="8816329"/>
    <s v="FX Spot"/>
    <d v="2020-08-21T12:10:53"/>
    <d v="2020-08-25T00:00:00"/>
    <s v="BARCLAYS BANK PLC LONDON"/>
    <m/>
    <s v="Sell"/>
    <n v="-147773.54999999999"/>
    <x v="0"/>
    <n v="135000"/>
    <x v="4"/>
    <n v="0.91356000000000004"/>
    <s v="MR_ON SandT FXMarkets"/>
    <s v="G44529946"/>
    <s v="BO-BO Confirmed"/>
    <n v="7485.9408539524302"/>
    <n v="0"/>
    <n v="7485.9408539524302"/>
  </r>
  <r>
    <n v="8816323"/>
    <s v="FX Spot"/>
    <d v="2020-08-21T12:10:25"/>
    <d v="2020-08-25T00:00:00"/>
    <s v="BARCLAYS BANK PLC LONDON"/>
    <m/>
    <s v="Sell"/>
    <n v="-13000"/>
    <x v="4"/>
    <n v="17033.77"/>
    <x v="1"/>
    <n v="1.31029"/>
    <s v="MR_ON SandT FXMarkets"/>
    <s v="G44529946"/>
    <s v="BO-BO Confirmed"/>
    <n v="-704.48252316343098"/>
    <n v="0"/>
    <n v="-704.48252316343098"/>
  </r>
  <r>
    <n v="8816317"/>
    <s v="FX Spot"/>
    <d v="2020-08-21T12:10:07"/>
    <d v="2020-08-25T00:00:00"/>
    <s v="BARCLAYS BANK PLC LONDON"/>
    <m/>
    <s v="Sell"/>
    <n v="-68000"/>
    <x v="1"/>
    <n v="79970.039999999994"/>
    <x v="1"/>
    <n v="1.1760299999999999"/>
    <s v="MR_ON SandT FXMarkets"/>
    <s v="G44529946"/>
    <s v="BO-BO Confirmed"/>
    <n v="-5608.7647036472299"/>
    <n v="0"/>
    <n v="-5608.7647036472299"/>
  </r>
  <r>
    <n v="8815503"/>
    <s v="FX Spot"/>
    <d v="2020-08-21T11:21:32"/>
    <d v="2020-08-24T00:00:00"/>
    <s v="REAL AUTOMOBILE AGENCY LTD"/>
    <s v="REAL AUTOMOBILE AGENCY LTD"/>
    <s v="Sell"/>
    <n v="-2483000"/>
    <x v="2"/>
    <n v="937332.5"/>
    <x v="0"/>
    <n v="0.3775"/>
    <s v="MR_ON SandT Commercial FX"/>
    <s v="H10041277"/>
    <s v="No Entries Verified"/>
    <n v="1510.6144311998501"/>
    <n v="0"/>
    <n v="1510.6144311998501"/>
  </r>
  <r>
    <n v="8815441"/>
    <s v="FX Spot"/>
    <d v="2020-08-21T11:14:31"/>
    <d v="2020-08-24T00:00:00"/>
    <s v="SOCIMED LTD"/>
    <s v="SOCIMED LTD"/>
    <s v="Sell"/>
    <n v="-145747"/>
    <x v="5"/>
    <n v="6434730.0499999998"/>
    <x v="0"/>
    <n v="44.15"/>
    <s v="MR_ON SandT Commercial FX"/>
    <s v="H10041277"/>
    <s v="No Entries Verified"/>
    <n v="69108.764983454705"/>
    <n v="0"/>
    <n v="69108.764983454705"/>
  </r>
  <r>
    <n v="8815226"/>
    <s v="FX Spot"/>
    <d v="2020-08-21T10:47:13"/>
    <d v="2020-08-25T00:00:00"/>
    <s v="BARCLAYS BANK PLC LONDON"/>
    <m/>
    <s v="Buy"/>
    <n v="416000"/>
    <x v="1"/>
    <n v="-490576.32"/>
    <x v="1"/>
    <n v="1.17927"/>
    <s v="MR_ON SandT FXMarkets"/>
    <s v="G44529946"/>
    <s v="BO-BO Confirmed"/>
    <n v="-19393.9894612096"/>
    <n v="0"/>
    <n v="-19393.9894612096"/>
  </r>
  <r>
    <n v="8815225"/>
    <s v="FX Spot"/>
    <d v="2020-08-21T10:46:20"/>
    <d v="2020-08-25T00:00:00"/>
    <s v="BARCLAYS BANK PLC LONDON"/>
    <m/>
    <s v="Sell"/>
    <n v="-9268.83"/>
    <x v="0"/>
    <n v="160000"/>
    <x v="5"/>
    <n v="17.262160000000002"/>
    <s v="MR_ON SandT FXMarkets"/>
    <s v="G44529946"/>
    <s v="BO-BO Confirmed"/>
    <n v="689.29490950173897"/>
    <n v="0"/>
    <n v="689.29490950173897"/>
  </r>
  <r>
    <n v="8815163"/>
    <s v="FX Spot"/>
    <d v="2020-08-21T10:38:04"/>
    <d v="2020-08-25T00:00:00"/>
    <s v="ABSA BANK"/>
    <m/>
    <s v="Buy"/>
    <n v="116000"/>
    <x v="1"/>
    <n v="-136711.79999999999"/>
    <x v="1"/>
    <n v="1.17855"/>
    <s v="MR_ON SandT FXMarkets"/>
    <s v="G44529946"/>
    <s v="BO-BO Confirmed"/>
    <n v="-2079.97668038029"/>
    <n v="0"/>
    <n v="-2079.97668038029"/>
  </r>
  <r>
    <n v="8815032"/>
    <s v="FX Spot"/>
    <d v="2020-08-21T10:14:43"/>
    <d v="2020-08-25T00:00:00"/>
    <s v="BARCLAYS BANK PLC LONDON"/>
    <m/>
    <s v="Sell"/>
    <n v="-5871.32"/>
    <x v="0"/>
    <n v="620000"/>
    <x v="3"/>
    <n v="105.598"/>
    <s v="MR_ON SandT FXMarkets"/>
    <s v="G44529946"/>
    <s v="BO-BO Confirmed"/>
    <n v="-302.99548237235302"/>
    <n v="0"/>
    <n v="-302.99548237235302"/>
  </r>
  <r>
    <n v="8815027"/>
    <s v="FX Spot"/>
    <d v="2020-08-21T10:14:04"/>
    <d v="2020-08-24T00:00:00"/>
    <s v="BARCLAYS BANK PLC LONDON"/>
    <m/>
    <s v="Sell"/>
    <n v="-30321.41"/>
    <x v="0"/>
    <n v="40000"/>
    <x v="6"/>
    <n v="1.3191999999999999"/>
    <s v="MR_ON SandT FXMarkets"/>
    <s v="G44529946"/>
    <s v="BO-BO Confirmed"/>
    <n v="-2728.30984684941"/>
    <n v="0"/>
    <n v="-2728.30984684941"/>
  </r>
  <r>
    <n v="8815026"/>
    <s v="FX Spot"/>
    <d v="2020-08-21T10:13:52"/>
    <d v="2020-08-24T00:00:00"/>
    <s v="BARCLAYS BANK PLC LONDON"/>
    <m/>
    <s v="Buy"/>
    <n v="15158.52"/>
    <x v="0"/>
    <n v="-20000"/>
    <x v="6"/>
    <n v="1.3193900000000001"/>
    <s v="MR_ON SandT FXMarkets"/>
    <s v="G44529946"/>
    <s v="BO-BO Confirmed"/>
    <n v="1277.0905383905599"/>
    <n v="0"/>
    <n v="1277.0905383905599"/>
  </r>
  <r>
    <n v="8815025"/>
    <s v="FX Spot"/>
    <d v="2020-08-21T10:13:27"/>
    <d v="2020-08-25T00:00:00"/>
    <s v="BARCLAYS BANK PLC LONDON"/>
    <m/>
    <s v="Sell"/>
    <n v="-60000"/>
    <x v="1"/>
    <n v="70888.800000000003"/>
    <x v="1"/>
    <n v="1.1814800000000001"/>
    <s v="MR_ON SandT FXMarkets"/>
    <s v="G44529946"/>
    <s v="BO-BO Confirmed"/>
    <n v="8080.8289421689697"/>
    <n v="0"/>
    <n v="8080.8289421689697"/>
  </r>
  <r>
    <n v="8814470"/>
    <s v="FX Spot"/>
    <d v="2020-08-21T09:16:00"/>
    <d v="2020-08-25T00:00:00"/>
    <s v="BARCLAYS BANK PLC LONDON"/>
    <m/>
    <s v="Sell"/>
    <n v="-16094.57"/>
    <x v="0"/>
    <n v="278000"/>
    <x v="5"/>
    <n v="17.27291"/>
    <s v="MR_ON SandT FXMarkets"/>
    <s v="G44529946"/>
    <s v="BO-BO Confirmed"/>
    <n v="1596.9944701606901"/>
    <n v="0"/>
    <n v="1596.9944701606901"/>
  </r>
  <r>
    <n v="8814465"/>
    <s v="FX Spot"/>
    <d v="2020-08-21T09:15:30"/>
    <d v="2020-08-25T00:00:00"/>
    <s v="BARCLAYS BANK PLC LONDON"/>
    <m/>
    <s v="Sell"/>
    <n v="-98000"/>
    <x v="4"/>
    <n v="129279.64"/>
    <x v="1"/>
    <n v="1.31918"/>
    <s v="MR_ON SandT FXMarkets"/>
    <s v="G44529946"/>
    <s v="BO-BO Confirmed"/>
    <n v="29404.176082763799"/>
    <n v="0"/>
    <n v="29404.176082763799"/>
  </r>
  <r>
    <n v="8814073"/>
    <s v="FX Spot"/>
    <d v="2020-08-21T08:29:02"/>
    <d v="2020-08-25T00:00:00"/>
    <s v="CITIBANK N.A. LONDON"/>
    <m/>
    <s v="Sell"/>
    <n v="-2000000"/>
    <x v="1"/>
    <n v="2363040"/>
    <x v="1"/>
    <n v="1.1815199999999999"/>
    <s v="MR_ON SandT FXMarkets"/>
    <s v="G01065515"/>
    <s v="BO-BO Confirmed"/>
    <n v="272548.66846369201"/>
    <n v="0"/>
    <n v="272548.66846369201"/>
  </r>
  <r>
    <n v="8814068"/>
    <s v="FX Spot"/>
    <d v="2020-08-21T08:27:52"/>
    <d v="2020-08-25T00:00:00"/>
    <s v="CITIBANK N.A. LONDON"/>
    <m/>
    <s v="Buy"/>
    <n v="2000000"/>
    <x v="1"/>
    <n v="-2367040"/>
    <x v="1"/>
    <n v="1.1835199999999999"/>
    <s v="MR_ON SandT FXMarkets"/>
    <s v="G01065515"/>
    <s v="BO-BO Confirmed"/>
    <n v="-431933.85469977598"/>
    <n v="0"/>
    <n v="-431933.85469977598"/>
  </r>
  <r>
    <n v="8813828"/>
    <s v="FX Spot"/>
    <d v="2020-08-21T07:50:05"/>
    <d v="2020-08-24T00:00:00"/>
    <s v="JOONAS AND CO LTD"/>
    <s v="JOONAS AND CO LTD"/>
    <s v="Sell"/>
    <n v="-93711.93"/>
    <x v="0"/>
    <n v="3728797.69"/>
    <x v="0"/>
    <n v="39.79"/>
    <s v="MR_ON SandT CIB_FX"/>
    <s v="G01201900"/>
    <s v="No Entries Verified"/>
    <n v="-5702.1633892930104"/>
    <n v="0"/>
    <n v="-5702.1633892930104"/>
  </r>
  <r>
    <n v="8813822"/>
    <s v="FX Spot"/>
    <d v="2020-08-21T07:49:31"/>
    <d v="2020-08-25T00:00:00"/>
    <s v="BARCLAYS BANK PLC LONDON"/>
    <m/>
    <s v="Buy"/>
    <n v="322000"/>
    <x v="1"/>
    <n v="-381376.8"/>
    <x v="1"/>
    <n v="1.1843999999999999"/>
    <s v="MR_ON SandT FXMarkets"/>
    <s v="G01058632"/>
    <s v="BO-BO Confirmed"/>
    <n v="-80832.197199624003"/>
    <n v="0"/>
    <n v="-80832.197199624003"/>
  </r>
  <r>
    <n v="8813814"/>
    <s v="FX Spot"/>
    <d v="2020-08-21T07:47:55"/>
    <d v="2020-08-24T00:00:00"/>
    <s v="BARCLAYS BANK PLC LONDON"/>
    <m/>
    <s v="Sell"/>
    <n v="-109714"/>
    <x v="0"/>
    <n v="150000"/>
    <x v="7"/>
    <n v="1.367191"/>
    <s v="MR_ON SandT FXMarkets"/>
    <s v="H10042224"/>
    <s v="BO-BO Confirmed"/>
    <n v="-10119.2399659939"/>
    <n v="0"/>
    <n v="-10119.2399659939"/>
  </r>
  <r>
    <n v="8813761"/>
    <s v="FX Spot"/>
    <d v="2020-08-21T07:37:59"/>
    <d v="2020-08-25T00:00:00"/>
    <s v="Mauritius IBD"/>
    <m/>
    <s v="Buy"/>
    <n v="2000000"/>
    <x v="1"/>
    <n v="-2369000"/>
    <x v="1"/>
    <n v="1.1845000000000001"/>
    <s v="MR_ON SandT FXMarkets"/>
    <s v="G44529946"/>
    <s v="BO-BO Confirmed"/>
    <n v="-510032.595955431"/>
    <n v="0"/>
    <n v="-510032.595955431"/>
  </r>
  <r>
    <n v="8813753"/>
    <s v="FX Spot"/>
    <d v="2020-08-21T07:37:42"/>
    <d v="2020-08-25T00:00:00"/>
    <s v="Mauritius IBD"/>
    <m/>
    <s v="Sell"/>
    <n v="-2000000"/>
    <x v="1"/>
    <n v="2368380"/>
    <x v="1"/>
    <n v="1.1841900000000001"/>
    <s v="MR_ON SandT FXMarkets"/>
    <s v="G44529946"/>
    <s v="BO-BO Confirmed"/>
    <n v="485327.89208884502"/>
    <n v="0"/>
    <n v="485327.89208884502"/>
  </r>
  <r>
    <n v="8813743"/>
    <s v="FX Spot"/>
    <d v="2020-08-21T07:34:26"/>
    <d v="2020-08-25T00:00:00"/>
    <s v="CITIBANK N.A. LONDON"/>
    <m/>
    <s v="Sell"/>
    <n v="-2000000"/>
    <x v="1"/>
    <n v="2369000"/>
    <x v="1"/>
    <n v="1.1845000000000001"/>
    <s v="MR_ON SandT FXMarkets"/>
    <s v="G01065515"/>
    <s v="BO-BO Confirmed"/>
    <n v="510032.595955431"/>
    <n v="0"/>
    <n v="510032.595955431"/>
  </r>
  <r>
    <n v="8813735"/>
    <s v="FX Spot"/>
    <d v="2020-08-21T07:32:53"/>
    <d v="2020-08-25T00:00:00"/>
    <s v="CITIBANK N.A. LONDON"/>
    <m/>
    <s v="Buy"/>
    <n v="2000000"/>
    <x v="1"/>
    <n v="-2368380"/>
    <x v="1"/>
    <n v="1.1841900000000001"/>
    <s v="MR_ON SandT FXMarkets"/>
    <s v="G01065515"/>
    <s v="BO-BO Confirmed"/>
    <n v="-485327.89208884502"/>
    <n v="0"/>
    <n v="-485327.89208884502"/>
  </r>
  <r>
    <n v="8813701"/>
    <s v="FX Spot"/>
    <d v="2020-08-21T07:26:15"/>
    <d v="2020-08-25T00:00:00"/>
    <s v="Mauritius IBD"/>
    <m/>
    <s v="Sell"/>
    <n v="-1000000"/>
    <x v="1"/>
    <n v="1187300"/>
    <x v="1"/>
    <n v="1.1873"/>
    <s v="MR_ON SandT FXMarkets"/>
    <s v="G44529946"/>
    <s v="BO-BO Confirmed"/>
    <n v="366585.92834296799"/>
    <n v="0"/>
    <n v="366585.92834296799"/>
  </r>
  <r>
    <n v="8813579"/>
    <s v="FX Spot"/>
    <d v="2020-08-21T07:05:13"/>
    <d v="2020-08-25T00:00:00"/>
    <s v="ABSA BANK"/>
    <m/>
    <s v="Buy"/>
    <n v="1000000"/>
    <x v="1"/>
    <n v="-1187300"/>
    <x v="1"/>
    <n v="1.1873"/>
    <s v="MR_ON SandT FXMarkets"/>
    <s v="G44529946"/>
    <s v="BO-BO Confirmed"/>
    <n v="-366585.92834296799"/>
    <n v="0"/>
    <n v="-366585.92834296799"/>
  </r>
  <r>
    <n v="8813548"/>
    <s v="FX Spot"/>
    <d v="2020-08-21T06:59:37"/>
    <d v="2020-08-24T00:00:00"/>
    <s v="IRELAND BLYTH LIMITED"/>
    <s v="IRELAND BLYTH LIMITED"/>
    <s v="Sell"/>
    <n v="-400000"/>
    <x v="1"/>
    <n v="475040"/>
    <x v="1"/>
    <n v="1.1876"/>
    <s v="MR_ON SandT CIB_FX"/>
    <s v="H10042101"/>
    <s v="BO Confirmed"/>
    <n v="151792.43307851601"/>
    <n v="0"/>
    <n v="151792.43307851601"/>
  </r>
  <r>
    <n v="8813491"/>
    <s v="FX Spot"/>
    <d v="2020-08-21T06:42:45"/>
    <d v="2020-08-24T00:00:00"/>
    <s v="DUCRAY LENOIR LIMITED"/>
    <s v="DUCRAY LENOIR LIMITED"/>
    <s v="Sell"/>
    <n v="-16920"/>
    <x v="0"/>
    <n v="675108"/>
    <x v="0"/>
    <n v="39.9"/>
    <s v="MR_ON SandT CIB_FX"/>
    <s v="G01884883"/>
    <s v="No Entries Verified"/>
    <n v="831.44829935219605"/>
    <n v="0"/>
    <n v="831.44829935219605"/>
  </r>
  <r>
    <n v="8813439"/>
    <s v="FX Spot"/>
    <d v="2020-08-21T06:32:52"/>
    <d v="2020-08-25T00:00:00"/>
    <s v="BARCLAYS BANK PLC LONDON"/>
    <m/>
    <s v="Sell"/>
    <n v="-100000"/>
    <x v="1"/>
    <n v="118708"/>
    <x v="1"/>
    <n v="1.1870799999999999"/>
    <s v="MR_ON SandT FXMarkets"/>
    <s v="G01058632"/>
    <s v="BO-BO Confirmed"/>
    <n v="35781.974309998601"/>
    <n v="0"/>
    <n v="35781.974309998601"/>
  </r>
  <r>
    <n v="8813405"/>
    <s v="FX Spot"/>
    <d v="2020-08-21T06:24:59"/>
    <d v="2020-08-24T00:00:00"/>
    <s v="SOCIMED LTD"/>
    <s v="SOCIMED LTD"/>
    <s v="Sell"/>
    <n v="-141864.75"/>
    <x v="6"/>
    <n v="4163730.41"/>
    <x v="0"/>
    <n v="29.35"/>
    <s v="MR_ON SandT Commercial FX"/>
    <s v="H10041277"/>
    <s v="No Entries Verified"/>
    <n v="38227.0606505787"/>
    <n v="0"/>
    <n v="38227.0606505787"/>
  </r>
  <r>
    <n v="8813320"/>
    <s v="FX Spot"/>
    <d v="2020-08-21T06:02:19"/>
    <d v="2020-08-25T00:00:00"/>
    <s v="BARCLAYS BANK PLC LONDON"/>
    <m/>
    <s v="Sell"/>
    <n v="-50000"/>
    <x v="4"/>
    <n v="66179"/>
    <x v="1"/>
    <n v="1.32358"/>
    <s v="MR_ON SandT FXMarkets"/>
    <s v="G01058632"/>
    <s v="BO-BO Confirmed"/>
    <n v="23768.315897454999"/>
    <n v="0"/>
    <n v="23768.315897454999"/>
  </r>
  <r>
    <n v="8813308"/>
    <s v="FX Spot"/>
    <d v="2020-08-21T05:53:36"/>
    <d v="2020-08-25T00:00:00"/>
    <s v="SHIBANI FINANCE COMPANY LIMITED"/>
    <s v="SHIBANI FINANCE COMPANY LIMITED"/>
    <s v="Buy"/>
    <n v="50000"/>
    <x v="4"/>
    <n v="-2627500"/>
    <x v="0"/>
    <n v="52.55"/>
    <s v="MR_ON SandT Commercial FX"/>
    <s v="H10042101"/>
    <s v="BO Confirmed"/>
    <n v="-13887.7394058299"/>
    <n v="0"/>
    <n v="-13887.7394058299"/>
  </r>
  <r>
    <n v="8813305"/>
    <s v="FX Spot"/>
    <d v="2020-08-21T05:52:23"/>
    <d v="2020-08-25T00:00:00"/>
    <s v="SHIBANI FINANCE COMPANY LIMITED"/>
    <s v="SHIBANI FINANCE COMPANY LIMITED"/>
    <s v="Buy"/>
    <n v="100000"/>
    <x v="1"/>
    <n v="-4712000"/>
    <x v="0"/>
    <n v="47.12"/>
    <s v="MR_ON SandT Commercial FX"/>
    <s v="H10042101"/>
    <s v="BO Confirmed"/>
    <n v="-17003.886946770399"/>
    <n v="0"/>
    <n v="-17003.886946770399"/>
  </r>
  <r>
    <n v="8811830"/>
    <s v="FX Spot"/>
    <d v="2020-08-20T13:15:59"/>
    <d v="2020-08-24T00:00:00"/>
    <s v="BARCLAYS BANK PLC LONDON"/>
    <m/>
    <s v="Sell"/>
    <n v="-4617.7"/>
    <x v="0"/>
    <n v="80000"/>
    <x v="5"/>
    <n v="17.324639999999999"/>
    <s v="MR_ON SandT FXMarkets"/>
    <s v="G44529946"/>
    <s v="BO-BO Confirmed"/>
    <n v="1032.9685747051001"/>
    <n v="0"/>
    <n v="1032.9685747051001"/>
  </r>
  <r>
    <n v="8811764"/>
    <s v="FX Spot"/>
    <d v="2020-08-20T13:08:39"/>
    <d v="2020-08-24T00:00:00"/>
    <s v="Mauritius IBD"/>
    <m/>
    <s v="Sell"/>
    <n v="-2000000"/>
    <x v="1"/>
    <n v="2365380"/>
    <x v="1"/>
    <n v="1.18269"/>
    <s v="MR_ON SandT FXMarkets"/>
    <s v="G44529946"/>
    <s v="BO-BO Confirmed"/>
    <n v="367670.51274490397"/>
    <n v="0"/>
    <n v="367670.51274490397"/>
  </r>
  <r>
    <n v="8811762"/>
    <s v="FX Spot"/>
    <d v="2020-08-20T13:08:14"/>
    <d v="2020-08-24T00:00:00"/>
    <s v="Mauritius IBD"/>
    <m/>
    <s v="Buy"/>
    <n v="2000000"/>
    <x v="1"/>
    <n v="-2371000"/>
    <x v="1"/>
    <n v="1.1855"/>
    <s v="MR_ON SandT FXMarkets"/>
    <s v="G44529946"/>
    <s v="BO-BO Confirmed"/>
    <n v="-591607.28340479697"/>
    <n v="0"/>
    <n v="-591607.28340479697"/>
  </r>
  <r>
    <n v="8811747"/>
    <s v="FX Spot"/>
    <d v="2020-08-20T13:06:49"/>
    <d v="2020-08-24T00:00:00"/>
    <s v="Mauritius IBD"/>
    <m/>
    <s v="Buy"/>
    <n v="1000000"/>
    <x v="0"/>
    <n v="-17275830"/>
    <x v="5"/>
    <n v="17.275829999999999"/>
    <s v="MR_ON SandT FXMarkets"/>
    <s v="G44529946"/>
    <s v="BO-BO Confirmed"/>
    <n v="-110800.230449133"/>
    <n v="0"/>
    <n v="-110800.230449133"/>
  </r>
  <r>
    <n v="8811286"/>
    <s v="FX Spot"/>
    <d v="2020-08-20T12:17:49"/>
    <d v="2020-08-24T00:00:00"/>
    <s v="BARCLAYS BANK PLC LONDON"/>
    <m/>
    <s v="Buy"/>
    <n v="6000"/>
    <x v="7"/>
    <n v="-4295.76"/>
    <x v="1"/>
    <n v="0.71596000000000004"/>
    <s v="MR_ON SandT FXMarkets"/>
    <s v="G44529946"/>
    <s v="BO-BO Confirmed"/>
    <n v="152.47181575431"/>
    <n v="0"/>
    <n v="152.47181575431"/>
  </r>
  <r>
    <n v="8811282"/>
    <s v="FX Spot"/>
    <d v="2020-08-20T12:17:30"/>
    <d v="2020-08-24T00:00:00"/>
    <s v="BARCLAYS BANK PLC LONDON"/>
    <m/>
    <s v="Sell"/>
    <n v="-1677.39"/>
    <x v="0"/>
    <n v="13000"/>
    <x v="8"/>
    <n v="7.7501499999999997"/>
    <s v="MR_ON SandT FXMarkets"/>
    <s v="G44529946"/>
    <s v="BO-BO Confirmed"/>
    <n v="5.5459192012640397"/>
    <n v="0"/>
    <n v="5.5459192012640397"/>
  </r>
  <r>
    <n v="8811132"/>
    <s v="FX Spot"/>
    <d v="2020-08-20T12:05:59"/>
    <d v="2020-08-24T00:00:00"/>
    <s v="BARCLAYS BANK PLC LONDON"/>
    <m/>
    <s v="Buy"/>
    <n v="10000"/>
    <x v="4"/>
    <n v="-13143.6"/>
    <x v="1"/>
    <n v="1.31436"/>
    <s v="MR_ON SandT FXMarkets"/>
    <s v="G44529946"/>
    <s v="BO-BO Confirmed"/>
    <n v="-1081.2867272041599"/>
    <n v="0"/>
    <n v="-1081.2867272041599"/>
  </r>
  <r>
    <n v="8811128"/>
    <s v="FX Spot"/>
    <d v="2020-08-20T12:05:49"/>
    <d v="2020-08-24T00:00:00"/>
    <s v="BARCLAYS BANK PLC LONDON"/>
    <m/>
    <s v="Sell"/>
    <n v="-70000"/>
    <x v="1"/>
    <n v="82938.100000000006"/>
    <x v="1"/>
    <n v="1.18483"/>
    <s v="MR_ON SandT FXMarkets"/>
    <s v="G44529946"/>
    <s v="BO-BO Confirmed"/>
    <n v="18837.458736970599"/>
    <n v="0"/>
    <n v="18837.458736970599"/>
  </r>
  <r>
    <n v="8811119"/>
    <s v="FX Spot"/>
    <d v="2020-08-20T12:04:12"/>
    <d v="2020-08-24T00:00:00"/>
    <s v="BARCLAYS BANK PLC LONDON"/>
    <m/>
    <s v="Buy"/>
    <n v="3431.63"/>
    <x v="0"/>
    <n v="-30000"/>
    <x v="2"/>
    <n v="8.7421900000000008"/>
    <s v="MR_ON SandT FXMarkets"/>
    <s v="G44529946"/>
    <s v="BO-BO Confirmed"/>
    <n v="834.29856878993496"/>
    <n v="0"/>
    <n v="834.29856878993496"/>
  </r>
  <r>
    <n v="8811111"/>
    <s v="FX Spot"/>
    <d v="2020-08-20T12:03:39"/>
    <d v="2020-08-24T00:00:00"/>
    <s v="BARCLAYS BANK PLC LONDON"/>
    <m/>
    <s v="Buy"/>
    <n v="2000"/>
    <x v="7"/>
    <n v="-1432.16"/>
    <x v="1"/>
    <n v="0.71608000000000005"/>
    <s v="MR_ON SandT FXMarkets"/>
    <s v="G44529946"/>
    <s v="BO-BO Confirmed"/>
    <n v="41.2608024711881"/>
    <n v="0"/>
    <n v="41.2608024711881"/>
  </r>
  <r>
    <n v="8810965"/>
    <s v="FX Spot"/>
    <d v="2020-08-20T11:52:36"/>
    <d v="2020-08-24T00:00:00"/>
    <s v="GAMMA CONSTRUCTION LTD"/>
    <s v="GAMMA CONSTRUCTION LTD"/>
    <s v="Sell"/>
    <n v="-37808.9"/>
    <x v="0"/>
    <n v="1504416.13"/>
    <x v="0"/>
    <n v="39.79"/>
    <s v="MR_ON SandT CIB_FX"/>
    <s v="H10042101"/>
    <s v="No Entries Verified"/>
    <n v="-2300.5869304893999"/>
    <n v="0"/>
    <n v="-2300.5869304893999"/>
  </r>
  <r>
    <n v="8810936"/>
    <s v="FX Spot"/>
    <d v="2020-08-20T11:48:58"/>
    <d v="2020-08-24T00:00:00"/>
    <s v="ABSA BANK"/>
    <m/>
    <s v="Sell"/>
    <n v="-1000000"/>
    <x v="0"/>
    <n v="17197000"/>
    <x v="5"/>
    <n v="17.196999999999999"/>
    <s v="MR_ON SandT FXMarkets"/>
    <s v="G44529946"/>
    <s v="BO-BO Confirmed"/>
    <n v="-71525.373094983399"/>
    <n v="0"/>
    <n v="-71525.373094983399"/>
  </r>
  <r>
    <n v="8810490"/>
    <s v="FX Spot"/>
    <d v="2020-08-20T10:54:02"/>
    <d v="2020-08-24T00:00:00"/>
    <s v="KOLOS CEMENT LIMITED"/>
    <s v="KOLOS CEMENT LIMITED"/>
    <s v="Sell"/>
    <n v="-5824.18"/>
    <x v="3"/>
    <n v="13628.58"/>
    <x v="0"/>
    <n v="2.34"/>
    <s v="MR_ON SandT CIB_FX"/>
    <s v="G01201900"/>
    <s v="No Entries Verified"/>
    <n v="156.333254561465"/>
    <n v="0"/>
    <n v="156.333254561465"/>
  </r>
  <r>
    <n v="8810477"/>
    <s v="FX Spot"/>
    <d v="2020-08-20T10:53:06"/>
    <d v="2020-08-24T00:00:00"/>
    <s v="KOLOS CEMENT LIMITED"/>
    <s v="KOLOS CEMENT LIMITED"/>
    <s v="Sell"/>
    <n v="-56876.43"/>
    <x v="0"/>
    <n v="2263113"/>
    <x v="0"/>
    <n v="39.79"/>
    <s v="MR_ON SandT CIB_FX"/>
    <s v="G01201900"/>
    <s v="No Entries Verified"/>
    <n v="-3460.9516278053602"/>
    <n v="0"/>
    <n v="-3460.9516278053602"/>
  </r>
  <r>
    <n v="8810460"/>
    <s v="FX Spot"/>
    <d v="2020-08-20T10:51:45"/>
    <d v="2020-08-24T00:00:00"/>
    <s v="KOLOS CEMENT LIMITED"/>
    <s v="KOLOS CEMENT LIMITED"/>
    <s v="Sell"/>
    <n v="-124800"/>
    <x v="0"/>
    <n v="4965792"/>
    <x v="0"/>
    <n v="39.79"/>
    <s v="MR_ON SandT CIB_FX"/>
    <s v="G01201900"/>
    <s v="No Entries Verified"/>
    <n v="-7593.7973371092203"/>
    <n v="0"/>
    <n v="-7593.7973371092203"/>
  </r>
  <r>
    <n v="8810299"/>
    <s v="FX Spot"/>
    <d v="2020-08-20T10:29:32"/>
    <d v="2020-08-24T00:00:00"/>
    <s v="OMNICANE LIMITED"/>
    <s v="OMNICANE LIMITED"/>
    <s v="Sell"/>
    <n v="-1000000"/>
    <x v="0"/>
    <n v="39800000"/>
    <x v="0"/>
    <n v="39.799999999999997"/>
    <s v="MR_ON SandT CIB_FX"/>
    <s v="H10042101"/>
    <s v="BO-BO Confirmed"/>
    <n v="-50848.852756269298"/>
    <n v="0"/>
    <n v="-50848.852756269298"/>
  </r>
  <r>
    <n v="8809220"/>
    <s v="FX Spot"/>
    <d v="2020-08-20T08:40:56"/>
    <d v="2020-08-24T00:00:00"/>
    <s v="CITIBANK N.A. LONDON"/>
    <m/>
    <s v="Buy"/>
    <n v="2000000"/>
    <x v="1"/>
    <n v="-2365380"/>
    <x v="1"/>
    <n v="1.18269"/>
    <s v="MR_ON SandT FXMarkets"/>
    <s v="G01065515"/>
    <s v="BO-BO Confirmed"/>
    <n v="-367670.51274490397"/>
    <n v="0"/>
    <n v="-367670.51274490397"/>
  </r>
  <r>
    <n v="8809168"/>
    <s v="FX Spot"/>
    <d v="2020-08-20T08:32:15"/>
    <d v="2020-08-24T00:00:00"/>
    <s v="BARCLAYS BANK PLC LONDON"/>
    <m/>
    <s v="Buy"/>
    <n v="92000"/>
    <x v="1"/>
    <n v="-108715.48"/>
    <x v="1"/>
    <n v="1.1816899999999999"/>
    <s v="MR_ON SandT FXMarkets"/>
    <s v="G44529946"/>
    <s v="BO-BO Confirmed"/>
    <n v="-13246.974742722699"/>
    <n v="0"/>
    <n v="-13246.974742722699"/>
  </r>
  <r>
    <n v="8809105"/>
    <s v="FX Spot"/>
    <d v="2020-08-20T08:26:20"/>
    <d v="2020-08-24T00:00:00"/>
    <s v="BARCLAYS BANK PLC LONDON"/>
    <m/>
    <s v="Sell"/>
    <n v="-25400.61"/>
    <x v="0"/>
    <n v="440000"/>
    <x v="5"/>
    <n v="17.322420000000001"/>
    <s v="MR_ON SandT FXMarkets"/>
    <s v="G44529946"/>
    <s v="BO-BO Confirmed"/>
    <n v="5551.4278953349003"/>
    <n v="0"/>
    <n v="5551.4278953349003"/>
  </r>
  <r>
    <n v="8809103"/>
    <s v="FX Spot"/>
    <d v="2020-08-20T08:25:55"/>
    <d v="2020-08-24T00:00:00"/>
    <s v="BARCLAYS BANK PLC LONDON"/>
    <m/>
    <s v="Buy"/>
    <n v="35000"/>
    <x v="4"/>
    <n v="-45761.45"/>
    <x v="1"/>
    <n v="1.3074699999999999"/>
    <s v="MR_ON SandT FXMarkets"/>
    <s v="G44529946"/>
    <s v="BO-BO Confirmed"/>
    <n v="5824.45592891867"/>
    <n v="0"/>
    <n v="5824.45592891867"/>
  </r>
  <r>
    <n v="8809098"/>
    <s v="FX Spot"/>
    <d v="2020-08-20T08:25:13"/>
    <d v="2020-08-24T00:00:00"/>
    <s v="CITIBANK N.A. LONDON"/>
    <m/>
    <s v="Sell"/>
    <n v="-2000000"/>
    <x v="1"/>
    <n v="2371000"/>
    <x v="1"/>
    <n v="1.1855"/>
    <s v="MR_ON SandT FXMarkets"/>
    <s v="G01065515"/>
    <s v="BO-BO Confirmed"/>
    <n v="591607.28340479697"/>
    <n v="0"/>
    <n v="591607.28340479697"/>
  </r>
  <r>
    <n v="8809097"/>
    <s v="FX Spot"/>
    <d v="2020-08-20T08:25:11"/>
    <d v="2020-08-24T00:00:00"/>
    <s v="Mauritius IBD"/>
    <m/>
    <s v="Buy"/>
    <n v="400000"/>
    <x v="1"/>
    <n v="-473040"/>
    <x v="1"/>
    <n v="1.1826000000000001"/>
    <s v="MR_ON SandT FXMarkets"/>
    <s v="G44529946"/>
    <s v="BO-BO Confirmed"/>
    <n v="-72099.632131941602"/>
    <n v="0"/>
    <n v="-72099.632131941602"/>
  </r>
  <r>
    <n v="8809067"/>
    <s v="FX Spot"/>
    <d v="2020-08-20T08:21:51"/>
    <d v="2020-08-24T00:00:00"/>
    <s v="BARCLAYS BANK PLC LONDON"/>
    <m/>
    <s v="Sell"/>
    <n v="-200000"/>
    <x v="1"/>
    <n v="236480"/>
    <x v="1"/>
    <n v="1.1823999999999999"/>
    <s v="MR_ON SandT FXMarkets"/>
    <s v="G44529946"/>
    <s v="BO-BO Confirmed"/>
    <n v="34455.960047040098"/>
    <n v="0"/>
    <n v="34455.960047040098"/>
  </r>
  <r>
    <n v="8808962"/>
    <s v="FX Spot"/>
    <d v="2020-08-20T08:03:06"/>
    <d v="2020-08-24T00:00:00"/>
    <s v="QUALITY BEVERAGES LTD"/>
    <s v="QUALITY BEVERAGES LTD"/>
    <s v="Sell"/>
    <n v="-400000"/>
    <x v="1"/>
    <n v="18880000"/>
    <x v="0"/>
    <n v="47.2"/>
    <s v="MR_ON SandT CIB_FX"/>
    <s v="G01884883"/>
    <s v="No Entries Verified"/>
    <n v="101048.166208565"/>
    <n v="0"/>
    <n v="101048.166208565"/>
  </r>
  <r>
    <n v="8808961"/>
    <s v="FX Spot"/>
    <d v="2020-08-20T08:02:42"/>
    <d v="2020-08-24T00:00:00"/>
    <s v="BARCLAYS BANK PLC LONDON"/>
    <m/>
    <s v="Buy"/>
    <n v="200000"/>
    <x v="1"/>
    <n v="-237060"/>
    <x v="1"/>
    <n v="1.1853"/>
    <s v="MR_ON SandT FXMarkets"/>
    <s v="G01058632"/>
    <s v="BO-BO Confirmed"/>
    <n v="-57566.8723215461"/>
    <n v="0"/>
    <n v="-57566.8723215461"/>
  </r>
  <r>
    <n v="8808941"/>
    <s v="FX Spot"/>
    <d v="2020-08-20T08:00:51"/>
    <d v="2020-08-24T00:00:00"/>
    <s v="PHARMACIE NOUVELLE LTD"/>
    <s v="PHARMACIE NOUVELLE LTD"/>
    <s v="Sell"/>
    <n v="-274283.86"/>
    <x v="1"/>
    <n v="12940712.51"/>
    <x v="0"/>
    <n v="47.18"/>
    <s v="MR_ON SandT CIB_FX"/>
    <s v="G01884883"/>
    <s v="No Entries Verified"/>
    <n v="63804.633809525498"/>
    <n v="0"/>
    <n v="63804.633809525498"/>
  </r>
  <r>
    <n v="8808940"/>
    <s v="FX Spot"/>
    <d v="2020-08-20T08:00:57"/>
    <d v="2020-08-24T00:00:00"/>
    <s v="BARCLAYS BANK PLC LONDON"/>
    <m/>
    <s v="Buy"/>
    <n v="74000"/>
    <x v="1"/>
    <n v="-87701.84"/>
    <x v="1"/>
    <n v="1.18516"/>
    <s v="MR_ON SandT FXMarkets"/>
    <s v="G01058632"/>
    <s v="BO-BO Confirmed"/>
    <n v="-20886.934050069201"/>
    <n v="0"/>
    <n v="-20886.934050069201"/>
  </r>
  <r>
    <n v="8808569"/>
    <s v="FX Spot"/>
    <d v="2020-08-20T07:07:10"/>
    <d v="2020-08-24T00:00:00"/>
    <s v="IRELAND BLYTH LIMITED"/>
    <s v="IRELAND BLYTH LIMITED"/>
    <s v="Sell"/>
    <n v="-163200"/>
    <x v="3"/>
    <n v="378624"/>
    <x v="0"/>
    <n v="2.3199999999999998"/>
    <s v="MR_ON SandT CIB_FX"/>
    <s v="G01884883"/>
    <s v="No Entries Verified"/>
    <n v="1117.03006642486"/>
    <n v="0"/>
    <n v="1117.03006642486"/>
  </r>
  <r>
    <n v="8808307"/>
    <s v="FX Spot"/>
    <d v="2020-08-20T06:30:36"/>
    <d v="2020-08-24T00:00:00"/>
    <s v="INTERNATIONAL DISTILLERS (MAURITIUS)LTD"/>
    <s v="INTERNATIONAL DISTILLERS (MAURITIUS)LTD"/>
    <s v="Sell"/>
    <n v="-23857.05"/>
    <x v="4"/>
    <n v="1254880.83"/>
    <x v="0"/>
    <n v="52.6"/>
    <s v="MR_ON SandT CIB_FX"/>
    <s v="G01259438"/>
    <s v="No Entries Verified"/>
    <n v="7866.4980018611504"/>
    <n v="0"/>
    <n v="7866.4980018611504"/>
  </r>
  <r>
    <n v="8816103"/>
    <s v="FX Swap"/>
    <d v="2020-08-21T11:59:37"/>
    <d v="2020-09-14T00:00:00"/>
    <s v="ABSA BANK"/>
    <m/>
    <s v="Buy"/>
    <n v="109393.63"/>
    <x v="0"/>
    <n v="-150000"/>
    <x v="7"/>
    <n v="1.3711949999999999"/>
    <s v="MR_ON SandT FXMarkets Swaps"/>
    <s v="G01058632"/>
    <s v="BO-BO Confirmed"/>
    <n v="4389.1487498506904"/>
    <n v="0"/>
    <n v="4389.1487498506904"/>
  </r>
  <r>
    <n v="8816102"/>
    <s v="FX Swap"/>
    <d v="2020-08-21T11:59:37"/>
    <d v="2020-08-24T00:00:00"/>
    <s v="ABSA BANK"/>
    <m/>
    <s v="Sell"/>
    <n v="-109442.96"/>
    <x v="0"/>
    <n v="150000"/>
    <x v="7"/>
    <n v="1.3705769999999999"/>
    <s v="MR_ON SandT FXMarkets Swaps"/>
    <s v="G01058632"/>
    <s v="BO-BO Confirmed"/>
    <n v="680.72841828595801"/>
    <n v="0"/>
    <n v="680.72841828595801"/>
  </r>
  <r>
    <n v="8816091"/>
    <s v="FX Swap"/>
    <d v="2020-08-21T11:58:33"/>
    <d v="2020-09-14T00:00:00"/>
    <s v="ABSA BANK"/>
    <m/>
    <s v="Buy"/>
    <n v="272250.12"/>
    <x v="0"/>
    <n v="-1000000"/>
    <x v="9"/>
    <n v="3.6730930000000002"/>
    <s v="MR_ON SandT FXMarkets Swaps"/>
    <s v="G01058632"/>
    <s v="BO-BO Confirmed"/>
    <n v="16634.357067568199"/>
    <n v="0"/>
    <n v="16634.357067568199"/>
  </r>
  <r>
    <n v="8816090"/>
    <s v="FX Swap"/>
    <d v="2020-08-21T11:58:33"/>
    <d v="2020-08-24T00:00:00"/>
    <s v="ABSA BANK"/>
    <m/>
    <s v="Sell"/>
    <n v="-272279.46999999997"/>
    <x v="0"/>
    <n v="1000000"/>
    <x v="9"/>
    <n v="3.6726969999999999"/>
    <s v="MR_ON SandT FXMarkets Swaps"/>
    <s v="G01058632"/>
    <s v="BO-BO Confirmed"/>
    <n v="-304.17940159328299"/>
    <n v="0"/>
    <n v="-304.17940159328299"/>
  </r>
  <r>
    <n v="8816083"/>
    <s v="FX Swap"/>
    <d v="2020-08-21T11:57:48"/>
    <d v="2020-08-28T00:00:00"/>
    <s v="ABSA BANK"/>
    <m/>
    <s v="Sell"/>
    <n v="-15000000"/>
    <x v="1"/>
    <n v="17667735"/>
    <x v="1"/>
    <n v="1.1778489999999999"/>
    <s v="MR_ON SandT FXMarkets Swaps"/>
    <s v="G01058632"/>
    <s v="BO-BO Confirmed"/>
    <n v="-194445.86564958101"/>
    <n v="0"/>
    <n v="-194445.86564958101"/>
  </r>
  <r>
    <n v="8815430"/>
    <s v="FX Swap"/>
    <d v="2020-08-21T11:13:17"/>
    <d v="2020-08-25T00:00:00"/>
    <s v="MEADERS FEEDS LTD"/>
    <s v="MEADERS FEEDS LTD"/>
    <s v="Sell"/>
    <n v="-1500000"/>
    <x v="0"/>
    <n v="59708850"/>
    <x v="0"/>
    <n v="39.805900000000001"/>
    <s v="MR_ON SandT CIB_FX"/>
    <s v="G01884883"/>
    <s v="BO Confirmed"/>
    <n v="-69514.613811411007"/>
    <n v="0"/>
    <n v="-69514.613811411007"/>
  </r>
  <r>
    <n v="8809582"/>
    <s v="FX Swap"/>
    <d v="2020-08-20T09:15:19"/>
    <d v="2020-08-24T00:00:00"/>
    <s v="IRELAND BLYTH LIMITED"/>
    <s v="IRELAND BLYTH LIMITED"/>
    <s v="Sell"/>
    <n v="-900000"/>
    <x v="0"/>
    <n v="35823960"/>
    <x v="0"/>
    <n v="39.804400000000001"/>
    <s v="MR_ON SandT CIB_FX"/>
    <s v="G01884883"/>
    <s v="BO-BO Confirmed"/>
    <n v="-41804.410083226903"/>
    <n v="0"/>
    <n v="-41804.410083226903"/>
  </r>
  <r>
    <n v="8803772"/>
    <s v="FX Swap"/>
    <d v="2020-08-19T10:17:25"/>
    <d v="2020-09-03T00:00:00"/>
    <s v="OMNICANE MILLING OPERATIONS LIMITED"/>
    <s v="OMNICANE MILLING OPERATIONS LIMITED"/>
    <s v="Sell"/>
    <n v="-100000"/>
    <x v="1"/>
    <n v="4742000"/>
    <x v="0"/>
    <n v="47.42"/>
    <s v="MR_ON SandT CIB_FX"/>
    <s v="H10042101"/>
    <s v="BO Confirmed"/>
    <n v="44611.423997411497"/>
    <n v="0"/>
    <n v="44611.423997411497"/>
  </r>
  <r>
    <n v="8802818"/>
    <s v="FX Swap"/>
    <d v="2020-08-19T08:40:01"/>
    <d v="2020-08-26T00:00:00"/>
    <s v="ABSA BANK"/>
    <m/>
    <s v="Sell"/>
    <n v="-1259423.6399999999"/>
    <x v="0"/>
    <n v="50000000"/>
    <x v="0"/>
    <n v="39.700699999999998"/>
    <s v="MR_ON SandT FXMarkets Swaps"/>
    <s v="G01058632"/>
    <s v="BO-BO Confirmed"/>
    <n v="-192588.16969665099"/>
    <n v="0"/>
    <n v="-192588.16969665099"/>
  </r>
  <r>
    <n v="8800465"/>
    <s v="FX Swap"/>
    <d v="2020-08-18T12:39:23"/>
    <d v="2020-08-25T00:00:00"/>
    <s v="ABSA BANK"/>
    <m/>
    <s v="Sell"/>
    <n v="-23000000"/>
    <x v="1"/>
    <n v="27470993"/>
    <x v="1"/>
    <n v="1.194391"/>
    <s v="MR_ON SandT FXMarkets Swaps"/>
    <s v="G44529946"/>
    <s v="BO-BO Confirmed"/>
    <n v="14930128.396588299"/>
    <n v="0"/>
    <n v="14930128.396588299"/>
  </r>
  <r>
    <n v="8799642"/>
    <s v="FX Swap"/>
    <d v="2020-08-18T11:20:03"/>
    <d v="2020-09-03T00:00:00"/>
    <s v="OMNICANE LIMITED"/>
    <s v="OMNICANE LIMITED"/>
    <s v="Sell"/>
    <n v="-556574"/>
    <x v="0"/>
    <n v="22161329.59"/>
    <x v="0"/>
    <n v="39.817399999999999"/>
    <s v="MR_ON SandT CIB_FX"/>
    <s v="H10042101"/>
    <s v="BO-BO Confirmed"/>
    <n v="-26305.406641647201"/>
    <n v="0"/>
    <n v="-26305.406641647201"/>
  </r>
  <r>
    <n v="8795108"/>
    <s v="FX Swap"/>
    <d v="2020-08-17T11:47:11"/>
    <d v="2020-08-24T00:00:00"/>
    <s v="ABSA BANK"/>
    <m/>
    <s v="Sell"/>
    <n v="-1511308.36"/>
    <x v="0"/>
    <n v="60000000"/>
    <x v="0"/>
    <n v="39.700699999999998"/>
    <s v="MR_ON SandT FXMarkets Swaps"/>
    <s v="G44529946"/>
    <s v="BO-BO Confirmed"/>
    <n v="-226904.25088902601"/>
    <n v="0"/>
    <n v="-226904.25088902601"/>
  </r>
  <r>
    <n v="8794787"/>
    <s v="FX Swap"/>
    <d v="2020-08-17T11:09:58"/>
    <d v="2020-08-28T00:00:00"/>
    <s v="MAURITIUS SUGAR SYNDICATE"/>
    <s v="MAURITIUS SUGAR SYNDICATE"/>
    <s v="Buy"/>
    <n v="3000000"/>
    <x v="1"/>
    <n v="-141285000"/>
    <x v="0"/>
    <n v="47.094999999999999"/>
    <s v="MR_ON SandT CIB_FX"/>
    <s v="G01201900"/>
    <s v="BO-BO Confirmed"/>
    <n v="-411527.08522611897"/>
    <n v="0"/>
    <n v="-411527.08522611897"/>
  </r>
  <r>
    <n v="8794762"/>
    <s v="FX Swap"/>
    <d v="2020-08-17T11:08:01"/>
    <d v="2020-08-27T00:00:00"/>
    <s v="MAURITIUS SUGAR SYNDICATE"/>
    <s v="MAURITIUS SUGAR SYNDICATE"/>
    <s v="Buy"/>
    <n v="2000000"/>
    <x v="1"/>
    <n v="-94190000"/>
    <x v="0"/>
    <n v="47.094999999999999"/>
    <s v="MR_ON SandT CIB_FX"/>
    <s v="G01201900"/>
    <s v="BO-BO Confirmed"/>
    <n v="-279649.55047400302"/>
    <n v="0"/>
    <n v="-279649.55047400302"/>
  </r>
  <r>
    <n v="8789968"/>
    <s v="FX Swap"/>
    <d v="2020-08-14T12:29:22"/>
    <d v="2020-08-24T00:00:00"/>
    <s v="ABSA BANK"/>
    <m/>
    <s v="Buy"/>
    <n v="272272.43"/>
    <x v="0"/>
    <n v="-1000000"/>
    <x v="9"/>
    <n v="3.6727919999999998"/>
    <s v="MR_ON SandT FXMarkets Swaps"/>
    <s v="G01058632"/>
    <s v="BO-BO Confirmed"/>
    <n v="23.660742262378299"/>
    <n v="0"/>
    <n v="23.660742262378299"/>
  </r>
  <r>
    <n v="8766816"/>
    <s v="FX Swap"/>
    <d v="2020-08-11T12:31:06"/>
    <d v="2020-08-26T00:00:00"/>
    <s v="BARCLAYS BANK PLC LONDON"/>
    <m/>
    <s v="Buy"/>
    <n v="129023.42"/>
    <x v="0"/>
    <n v="-1000000"/>
    <x v="8"/>
    <n v="7.7505309999999996"/>
    <s v="MR_ON SandT FXMarkets Swaps"/>
    <s v="G01058632"/>
    <s v="BO-BO Confirmed"/>
    <n v="116.271397693083"/>
    <n v="0"/>
    <n v="116.271397693083"/>
  </r>
  <r>
    <n v="8764782"/>
    <s v="FX Swap"/>
    <d v="2020-08-11T08:56:03"/>
    <d v="2020-08-25T00:00:00"/>
    <s v="IRELAND BLYTH LIMITED"/>
    <s v="IRELAND BLYTH LIMITED"/>
    <s v="Sell"/>
    <n v="-2350000"/>
    <x v="0"/>
    <n v="93802835"/>
    <x v="0"/>
    <n v="39.9161"/>
    <s v="MR_ON SandT CIB_FX"/>
    <s v="G01884883"/>
    <s v="BO-BO Confirmed"/>
    <n v="150025.08473020801"/>
    <n v="0"/>
    <n v="150025.08473020801"/>
  </r>
  <r>
    <n v="8761911"/>
    <s v="FX Swap"/>
    <d v="2020-08-10T12:22:04"/>
    <d v="2020-08-25T00:00:00"/>
    <s v="BARCLAYS BANK PLC LONDON"/>
    <m/>
    <s v="Buy"/>
    <n v="286616.46999999997"/>
    <x v="0"/>
    <n v="-2000000"/>
    <x v="10"/>
    <n v="6.9779660000000003"/>
    <s v="MR_ON SandT FXMarkets Swaps"/>
    <s v="G01058632"/>
    <s v="BO-BO Confirmed"/>
    <n v="-97996.172288697198"/>
    <n v="0"/>
    <n v="-97996.172288697198"/>
  </r>
  <r>
    <n v="8760045"/>
    <s v="FX Swap"/>
    <d v="2020-08-10T09:41:51"/>
    <d v="2020-09-10T00:00:00"/>
    <s v="MAURITIUS SUGAR SYNDICATE"/>
    <s v="MAURITIUS SUGAR SYNDICATE"/>
    <s v="Sell"/>
    <n v="-1000000"/>
    <x v="0"/>
    <n v="39962500"/>
    <x v="0"/>
    <n v="39.962499999999999"/>
    <s v="MR_ON SandT CIB_FX"/>
    <s v="H10042101"/>
    <s v="BO-BO Confirmed"/>
    <n v="88361.452348195002"/>
    <n v="0"/>
    <n v="88361.452348195002"/>
  </r>
  <r>
    <n v="8646163"/>
    <s v="FX Swap"/>
    <d v="2020-07-14T11:20:02"/>
    <d v="2020-10-16T00:00:00"/>
    <s v="ABSA BANK"/>
    <m/>
    <s v="Buy"/>
    <n v="10000000"/>
    <x v="4"/>
    <n v="-12532150"/>
    <x v="1"/>
    <n v="1.253215"/>
    <s v="MR_ON SandT FXMarkets Swaps"/>
    <s v="G44529946"/>
    <s v="BO-BO Confirmed"/>
    <n v="23411026.291684002"/>
    <n v="0"/>
    <n v="23411026.291684002"/>
  </r>
  <r>
    <n v="8576403"/>
    <s v="FX Swap"/>
    <d v="2020-06-26T07:56:50"/>
    <d v="2020-10-26T00:00:00"/>
    <s v="SBM HOLDINGS LTD"/>
    <s v="SBM HOLDINGS LTD"/>
    <s v="Sell"/>
    <n v="-1600000"/>
    <x v="0"/>
    <n v="29732640"/>
    <x v="11"/>
    <n v="18.582899999999999"/>
    <s v="MR_ON SandT CIB_FX"/>
    <s v="G01271033"/>
    <s v="BO-BO Confirmed"/>
    <n v="584053.53179686505"/>
    <n v="0"/>
    <n v="584053.53179686505"/>
  </r>
  <r>
    <n v="8575927"/>
    <s v="FX Swap"/>
    <d v="2020-06-26T06:57:00"/>
    <d v="2020-10-26T00:00:00"/>
    <s v="Absa Bank Seychelles (ABSC)"/>
    <m/>
    <s v="Buy"/>
    <n v="1600000"/>
    <x v="0"/>
    <n v="-29524640"/>
    <x v="11"/>
    <n v="18.4529"/>
    <s v="MR_ON SandT FXMarkets Swaps"/>
    <s v="G01058632"/>
    <s v="BO-BO Confirmed"/>
    <n v="-134136.03108771899"/>
    <n v="0"/>
    <n v="-134136.03108771899"/>
  </r>
  <r>
    <n v="8562266"/>
    <s v="FX Swap"/>
    <d v="2020-06-23T11:21:26"/>
    <d v="2020-10-27T00:00:00"/>
    <s v="TERRA FINANCE LTD"/>
    <s v="TERRA FINANCE LTD"/>
    <s v="Sell"/>
    <n v="-1250000"/>
    <x v="1"/>
    <n v="56700000"/>
    <x v="0"/>
    <n v="45.36"/>
    <s v="MR_ON SandT CIB_FX"/>
    <s v="H10042101"/>
    <s v="BO-BO Confirmed"/>
    <n v="-2177334.3919117502"/>
    <n v="0"/>
    <n v="-2177334.3919117502"/>
  </r>
  <r>
    <n v="8430619"/>
    <s v="FX Swap"/>
    <d v="2020-05-26T07:47:39"/>
    <d v="2020-08-25T00:00:00"/>
    <s v="BANK OF MAURITIUS"/>
    <m/>
    <s v="Sell"/>
    <n v="-272000"/>
    <x v="0"/>
    <n v="10907172.800000001"/>
    <x v="0"/>
    <n v="40.099899999999998"/>
    <s v="MR_ON SandT FXMarkets Swaps"/>
    <s v="G01058632"/>
    <s v="BO-BO Confirmed"/>
    <n v="67350.737116543605"/>
    <n v="0"/>
    <n v="67350.737116543605"/>
  </r>
  <r>
    <n v="8429851"/>
    <s v="FX Swap"/>
    <d v="2020-05-26T05:52:41"/>
    <d v="2020-08-25T00:00:00"/>
    <s v="GAMMA CONSTRUCTION LTD"/>
    <s v="GAMMA CONSTRUCTION LTD"/>
    <s v="Buy"/>
    <n v="272000"/>
    <x v="0"/>
    <n v="-10879320"/>
    <x v="0"/>
    <n v="39.997500000000002"/>
    <s v="MR_ON SandT CIB_FX"/>
    <s v="G01201900"/>
    <s v="BO-BO Confirmed"/>
    <n v="-39502.097985777997"/>
    <n v="0"/>
    <n v="-39502.097985777997"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  <r>
    <m/>
    <m/>
    <m/>
    <m/>
    <m/>
    <m/>
    <m/>
    <m/>
    <x v="8"/>
    <m/>
    <x v="12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7">
  <r>
    <x v="0"/>
    <n v="8000"/>
  </r>
  <r>
    <x v="1"/>
    <n v="-25853665.839999981"/>
  </r>
  <r>
    <x v="2"/>
    <n v="9910142.9499999993"/>
  </r>
  <r>
    <x v="3"/>
    <n v="-77060300.599999994"/>
  </r>
  <r>
    <x v="4"/>
    <n v="-141864.75"/>
  </r>
  <r>
    <x v="5"/>
    <n v="-19692880.140000008"/>
  </r>
  <r>
    <x v="6"/>
    <n v="-1169024.1800000002"/>
  </r>
  <r>
    <x v="7"/>
    <m/>
  </r>
  <r>
    <x v="8"/>
    <n v="-145747"/>
  </r>
  <r>
    <x v="9"/>
    <n v="-114145339.56"/>
  </r>
  <r>
    <x v="10"/>
    <m/>
  </r>
  <r>
    <x v="10"/>
    <m/>
  </r>
  <r>
    <x v="10"/>
    <m/>
  </r>
  <r>
    <x v="10"/>
    <m/>
  </r>
  <r>
    <x v="10"/>
    <m/>
  </r>
  <r>
    <x v="10"/>
    <m/>
  </r>
  <r>
    <x v="10"/>
    <m/>
  </r>
  <r>
    <x v="11"/>
    <m/>
  </r>
  <r>
    <x v="10"/>
    <m/>
  </r>
  <r>
    <x v="12"/>
    <s v="Sum of CCY 2 Amount"/>
  </r>
  <r>
    <x v="13"/>
    <n v="-987000"/>
  </r>
  <r>
    <x v="14"/>
    <n v="20000"/>
  </r>
  <r>
    <x v="15"/>
    <n v="-2000000"/>
  </r>
  <r>
    <x v="16"/>
    <n v="-60000"/>
  </r>
  <r>
    <x v="17"/>
    <n v="208000"/>
  </r>
  <r>
    <x v="3"/>
    <n v="3120000"/>
  </r>
  <r>
    <x v="18"/>
    <n v="402742855.92000008"/>
  </r>
  <r>
    <x v="5"/>
    <n v="30120630.140000001"/>
  </r>
  <r>
    <x v="6"/>
    <n v="879170"/>
  </r>
  <r>
    <x v="7"/>
    <m/>
  </r>
  <r>
    <x v="8"/>
    <n v="135000"/>
  </r>
  <r>
    <x v="4"/>
    <n v="150000"/>
  </r>
  <r>
    <x v="19"/>
    <n v="-1000000"/>
  </r>
  <r>
    <x v="9"/>
    <n v="433328656.06000006"/>
  </r>
  <r>
    <x v="10"/>
    <m/>
  </r>
  <r>
    <x v="10"/>
    <m/>
  </r>
  <r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 chartFormat="1">
  <location ref="B23:C37" firstHeaderRow="1" firstDataRow="1" firstDataCol="1"/>
  <pivotFields count="18"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5">
        <item x="8"/>
        <item x="6"/>
        <item m="1" x="21"/>
        <item x="10"/>
        <item m="1" x="20"/>
        <item m="1" x="19"/>
        <item x="2"/>
        <item m="1" x="15"/>
        <item m="1" x="13"/>
        <item x="11"/>
        <item m="1" x="22"/>
        <item x="3"/>
        <item x="0"/>
        <item x="1"/>
        <item x="5"/>
        <item x="12"/>
        <item x="4"/>
        <item m="1" x="18"/>
        <item m="1" x="14"/>
        <item x="7"/>
        <item m="1" x="23"/>
        <item x="9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4">
    <i>
      <x/>
    </i>
    <i>
      <x v="1"/>
    </i>
    <i>
      <x v="3"/>
    </i>
    <i>
      <x v="6"/>
    </i>
    <i>
      <x v="9"/>
    </i>
    <i>
      <x v="11"/>
    </i>
    <i>
      <x v="12"/>
    </i>
    <i>
      <x v="13"/>
    </i>
    <i>
      <x v="14"/>
    </i>
    <i>
      <x v="15"/>
    </i>
    <i>
      <x v="16"/>
    </i>
    <i>
      <x v="19"/>
    </i>
    <i>
      <x v="21"/>
    </i>
    <i t="grand">
      <x/>
    </i>
  </rowItems>
  <colItems count="1">
    <i/>
  </colItems>
  <dataFields count="1">
    <dataField name="Sum of CCY 2 Amount" fld="9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B3:C13" firstHeaderRow="1" firstDataRow="1" firstDataCol="1"/>
  <pivotFields count="18">
    <pivotField showAll="0" defaultSubtotal="0"/>
    <pivotField showAll="0" defaultSubtotal="0"/>
    <pivotField showAll="0"/>
    <pivotField showAll="0"/>
    <pivotField showAll="0"/>
    <pivotField showAll="0"/>
    <pivotField showAll="0"/>
    <pivotField dataField="1" showAll="0"/>
    <pivotField axis="axisRow" showAll="0">
      <items count="25">
        <item m="1" x="17"/>
        <item x="7"/>
        <item m="1" x="12"/>
        <item x="1"/>
        <item x="4"/>
        <item m="1" x="18"/>
        <item x="2"/>
        <item m="1" x="20"/>
        <item m="1" x="16"/>
        <item x="6"/>
        <item x="0"/>
        <item x="3"/>
        <item x="8"/>
        <item x="5"/>
        <item m="1" x="21"/>
        <item m="1" x="13"/>
        <item m="1" x="14"/>
        <item m="1" x="9"/>
        <item m="1" x="22"/>
        <item m="1" x="15"/>
        <item m="1" x="23"/>
        <item m="1" x="10"/>
        <item m="1" x="11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 v="1"/>
    </i>
    <i>
      <x v="3"/>
    </i>
    <i>
      <x v="4"/>
    </i>
    <i>
      <x v="6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CCY 1 Amount" fld="7" baseField="8" baseItem="0"/>
  </dataFields>
  <formats count="1">
    <format dxfId="74">
      <pivotArea dataOnly="0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I3:J24" firstHeaderRow="1" firstDataRow="1" firstDataCol="1"/>
  <pivotFields count="2">
    <pivotField axis="axisRow" showAll="0">
      <items count="32">
        <item x="7"/>
        <item x="0"/>
        <item x="1"/>
        <item x="2"/>
        <item x="9"/>
        <item x="3"/>
        <item x="18"/>
        <item x="12"/>
        <item x="5"/>
        <item x="6"/>
        <item x="10"/>
        <item x="8"/>
        <item x="15"/>
        <item x="16"/>
        <item x="13"/>
        <item x="19"/>
        <item x="4"/>
        <item x="14"/>
        <item m="1" x="28"/>
        <item x="17"/>
        <item m="1" x="27"/>
        <item m="1" x="22"/>
        <item m="1" x="30"/>
        <item m="1" x="20"/>
        <item m="1" x="21"/>
        <item m="1" x="29"/>
        <item m="1" x="23"/>
        <item m="1" x="24"/>
        <item m="1" x="25"/>
        <item m="1" x="26"/>
        <item x="11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30"/>
    </i>
    <i t="grand">
      <x/>
    </i>
  </rowItems>
  <colItems count="1">
    <i/>
  </colItems>
  <dataFields count="1">
    <dataField name="Sum of Sum of CCY 1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B3:C19" firstHeaderRow="1" firstDataRow="1" firstDataCol="1"/>
  <pivotFields count="13">
    <pivotField showAll="0"/>
    <pivotField axis="axisRow" showAll="0">
      <items count="23">
        <item x="1"/>
        <item x="2"/>
        <item x="5"/>
        <item x="6"/>
        <item x="7"/>
        <item x="8"/>
        <item m="1" x="19"/>
        <item x="11"/>
        <item x="12"/>
        <item x="13"/>
        <item x="14"/>
        <item x="3"/>
        <item m="1" x="21"/>
        <item x="0"/>
        <item x="4"/>
        <item m="1" x="20"/>
        <item x="9"/>
        <item x="10"/>
        <item m="1" x="16"/>
        <item m="1" x="15"/>
        <item m="1" x="18"/>
        <item m="1"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6"/>
    </i>
    <i>
      <x v="17"/>
    </i>
    <i t="grand">
      <x/>
    </i>
  </rowItems>
  <colItems count="1">
    <i/>
  </colItems>
  <dataFields count="1">
    <dataField name="Sum of Nominal" fld="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256"/>
  <sheetViews>
    <sheetView zoomScale="80" zoomScaleNormal="80" workbookViewId="0">
      <pane ySplit="1" topLeftCell="A3" activePane="bottomLeft" state="frozen"/>
      <selection pane="bottomLeft" activeCell="J179" sqref="J179"/>
    </sheetView>
  </sheetViews>
  <sheetFormatPr defaultRowHeight="15" x14ac:dyDescent="0.25"/>
  <cols>
    <col min="1" max="1" width="8.7109375" style="21" bestFit="1" customWidth="1"/>
    <col min="2" max="2" width="11" bestFit="1" customWidth="1"/>
    <col min="3" max="3" width="17.140625" style="28" customWidth="1"/>
    <col min="4" max="4" width="17.140625" style="28" bestFit="1" customWidth="1"/>
    <col min="5" max="5" width="35.140625" bestFit="1" customWidth="1"/>
    <col min="6" max="6" width="34.140625" bestFit="1" customWidth="1"/>
    <col min="7" max="7" width="9.28515625" bestFit="1" customWidth="1"/>
    <col min="8" max="8" width="18" style="19" bestFit="1" customWidth="1"/>
    <col min="9" max="9" width="5.5703125" style="19" customWidth="1"/>
    <col min="10" max="10" width="17.85546875" style="19" bestFit="1" customWidth="1"/>
    <col min="11" max="11" width="6" bestFit="1" customWidth="1"/>
    <col min="12" max="12" width="14.42578125" bestFit="1" customWidth="1"/>
    <col min="13" max="13" width="30" bestFit="1" customWidth="1"/>
    <col min="14" max="14" width="11.28515625" bestFit="1" customWidth="1"/>
    <col min="15" max="15" width="20" bestFit="1" customWidth="1"/>
    <col min="16" max="16" width="13.7109375" style="25" bestFit="1" customWidth="1"/>
    <col min="17" max="17" width="5.28515625" bestFit="1" customWidth="1"/>
    <col min="18" max="18" width="13.7109375" style="19" bestFit="1" customWidth="1"/>
    <col min="19" max="19" width="8.7109375" bestFit="1" customWidth="1"/>
  </cols>
  <sheetData>
    <row r="1" spans="1:19" s="30" customFormat="1" ht="16.5" customHeight="1" x14ac:dyDescent="0.25">
      <c r="A1" s="29" t="s">
        <v>357</v>
      </c>
      <c r="B1" s="30" t="s">
        <v>64</v>
      </c>
      <c r="C1" s="58" t="s">
        <v>0</v>
      </c>
      <c r="D1" s="58" t="s">
        <v>1</v>
      </c>
      <c r="E1" s="30" t="s">
        <v>2</v>
      </c>
      <c r="F1" s="30" t="s">
        <v>3</v>
      </c>
      <c r="G1" s="30" t="s">
        <v>4</v>
      </c>
      <c r="H1" s="31" t="s">
        <v>5</v>
      </c>
      <c r="I1" s="31" t="s">
        <v>6</v>
      </c>
      <c r="J1" s="31" t="s">
        <v>7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3" t="s">
        <v>13</v>
      </c>
      <c r="Q1" s="30" t="s">
        <v>14</v>
      </c>
      <c r="R1" s="31" t="s">
        <v>15</v>
      </c>
    </row>
    <row r="2" spans="1:19" ht="15" customHeight="1" x14ac:dyDescent="0.25">
      <c r="A2" s="70">
        <v>8815281</v>
      </c>
      <c r="B2" s="70" t="s">
        <v>98</v>
      </c>
      <c r="C2" s="71">
        <v>44064.456099537034</v>
      </c>
      <c r="D2" s="72">
        <v>44102</v>
      </c>
      <c r="E2" s="70" t="s">
        <v>118</v>
      </c>
      <c r="F2" s="70" t="s">
        <v>118</v>
      </c>
      <c r="G2" s="70" t="s">
        <v>82</v>
      </c>
      <c r="H2" s="70">
        <v>-137046.20000000001</v>
      </c>
      <c r="I2" s="70" t="s">
        <v>17</v>
      </c>
      <c r="J2" s="70">
        <v>5457179.6799999997</v>
      </c>
      <c r="K2" s="70" t="s">
        <v>18</v>
      </c>
      <c r="L2" s="70">
        <v>39.82</v>
      </c>
      <c r="M2" s="70" t="s">
        <v>83</v>
      </c>
      <c r="N2" s="70" t="s">
        <v>106</v>
      </c>
      <c r="O2" s="70" t="s">
        <v>92</v>
      </c>
      <c r="P2" s="70">
        <v>-10595.465424710899</v>
      </c>
      <c r="Q2" s="70">
        <v>0</v>
      </c>
      <c r="R2" s="70">
        <v>-10595.465424710899</v>
      </c>
      <c r="S2" s="56"/>
    </row>
    <row r="3" spans="1:19" ht="15" customHeight="1" x14ac:dyDescent="0.25">
      <c r="A3" s="70">
        <v>8815264</v>
      </c>
      <c r="B3" s="70" t="s">
        <v>98</v>
      </c>
      <c r="C3" s="71">
        <v>44064.453842592593</v>
      </c>
      <c r="D3" s="72">
        <v>44089</v>
      </c>
      <c r="E3" s="70" t="s">
        <v>118</v>
      </c>
      <c r="F3" s="70" t="s">
        <v>118</v>
      </c>
      <c r="G3" s="70" t="s">
        <v>82</v>
      </c>
      <c r="H3" s="70">
        <v>-402672.19</v>
      </c>
      <c r="I3" s="70" t="s">
        <v>17</v>
      </c>
      <c r="J3" s="70">
        <v>16026353.16</v>
      </c>
      <c r="K3" s="70" t="s">
        <v>18</v>
      </c>
      <c r="L3" s="70">
        <v>39.799999999999997</v>
      </c>
      <c r="M3" s="70" t="s">
        <v>83</v>
      </c>
      <c r="N3" s="70" t="s">
        <v>106</v>
      </c>
      <c r="O3" s="70" t="s">
        <v>92</v>
      </c>
      <c r="P3" s="70">
        <v>-32450.034536708099</v>
      </c>
      <c r="Q3" s="70">
        <v>0</v>
      </c>
      <c r="R3" s="70">
        <v>-32450.034536708099</v>
      </c>
      <c r="S3" s="56"/>
    </row>
    <row r="4" spans="1:19" ht="15" customHeight="1" x14ac:dyDescent="0.25">
      <c r="A4" s="70">
        <v>8815243</v>
      </c>
      <c r="B4" s="70" t="s">
        <v>98</v>
      </c>
      <c r="C4" s="71">
        <v>44064.451226851852</v>
      </c>
      <c r="D4" s="72">
        <v>44082</v>
      </c>
      <c r="E4" s="70" t="s">
        <v>118</v>
      </c>
      <c r="F4" s="70" t="s">
        <v>118</v>
      </c>
      <c r="G4" s="70" t="s">
        <v>82</v>
      </c>
      <c r="H4" s="70">
        <v>-154721.03</v>
      </c>
      <c r="I4" s="70" t="s">
        <v>17</v>
      </c>
      <c r="J4" s="70">
        <v>6157123.3899999997</v>
      </c>
      <c r="K4" s="70" t="s">
        <v>18</v>
      </c>
      <c r="L4" s="70">
        <v>39.795000000000002</v>
      </c>
      <c r="M4" s="70" t="s">
        <v>83</v>
      </c>
      <c r="N4" s="70" t="s">
        <v>106</v>
      </c>
      <c r="O4" s="70" t="s">
        <v>92</v>
      </c>
      <c r="P4" s="70">
        <v>-11814.1132524479</v>
      </c>
      <c r="Q4" s="70">
        <v>0</v>
      </c>
      <c r="R4" s="70">
        <v>-11814.1132524479</v>
      </c>
      <c r="S4" s="56"/>
    </row>
    <row r="5" spans="1:19" ht="15" customHeight="1" x14ac:dyDescent="0.25">
      <c r="A5" s="70">
        <v>8815210</v>
      </c>
      <c r="B5" s="70" t="s">
        <v>98</v>
      </c>
      <c r="C5" s="71">
        <v>44064.448078703703</v>
      </c>
      <c r="D5" s="72">
        <v>44098</v>
      </c>
      <c r="E5" s="70" t="s">
        <v>118</v>
      </c>
      <c r="F5" s="70" t="s">
        <v>118</v>
      </c>
      <c r="G5" s="70" t="s">
        <v>82</v>
      </c>
      <c r="H5" s="70">
        <v>-108530</v>
      </c>
      <c r="I5" s="70" t="s">
        <v>22</v>
      </c>
      <c r="J5" s="70">
        <v>5106336.5</v>
      </c>
      <c r="K5" s="70" t="s">
        <v>18</v>
      </c>
      <c r="L5" s="70">
        <v>47.05</v>
      </c>
      <c r="M5" s="70" t="s">
        <v>83</v>
      </c>
      <c r="N5" s="70" t="s">
        <v>106</v>
      </c>
      <c r="O5" s="70" t="s">
        <v>92</v>
      </c>
      <c r="P5" s="70">
        <v>2569.2135579297301</v>
      </c>
      <c r="Q5" s="70">
        <v>0</v>
      </c>
      <c r="R5" s="70">
        <v>2569.2135579297301</v>
      </c>
      <c r="S5" s="56"/>
    </row>
    <row r="6" spans="1:19" ht="15" customHeight="1" x14ac:dyDescent="0.25">
      <c r="A6" s="70">
        <v>8815172</v>
      </c>
      <c r="B6" s="70" t="s">
        <v>98</v>
      </c>
      <c r="C6" s="71">
        <v>44064.445011574076</v>
      </c>
      <c r="D6" s="72">
        <v>44075</v>
      </c>
      <c r="E6" s="70" t="s">
        <v>118</v>
      </c>
      <c r="F6" s="70" t="s">
        <v>118</v>
      </c>
      <c r="G6" s="70" t="s">
        <v>82</v>
      </c>
      <c r="H6" s="70">
        <v>-416268.72</v>
      </c>
      <c r="I6" s="70" t="s">
        <v>22</v>
      </c>
      <c r="J6" s="70">
        <v>19570873.870000001</v>
      </c>
      <c r="K6" s="70" t="s">
        <v>18</v>
      </c>
      <c r="L6" s="70">
        <v>47.015000000000001</v>
      </c>
      <c r="M6" s="70" t="s">
        <v>83</v>
      </c>
      <c r="N6" s="70" t="s">
        <v>106</v>
      </c>
      <c r="O6" s="70" t="s">
        <v>85</v>
      </c>
      <c r="P6" s="70">
        <v>19367.680874317899</v>
      </c>
      <c r="Q6" s="70">
        <v>0</v>
      </c>
      <c r="R6" s="70">
        <v>19367.680874317899</v>
      </c>
      <c r="S6" s="56"/>
    </row>
    <row r="7" spans="1:19" ht="15" customHeight="1" x14ac:dyDescent="0.25">
      <c r="A7" s="70">
        <v>8802697</v>
      </c>
      <c r="B7" s="70" t="s">
        <v>98</v>
      </c>
      <c r="C7" s="71">
        <v>44062.350428240738</v>
      </c>
      <c r="D7" s="72">
        <v>44186</v>
      </c>
      <c r="E7" s="70" t="s">
        <v>88</v>
      </c>
      <c r="F7" s="70" t="s">
        <v>88</v>
      </c>
      <c r="G7" s="70" t="s">
        <v>86</v>
      </c>
      <c r="H7" s="70">
        <v>500000</v>
      </c>
      <c r="I7" s="70" t="s">
        <v>22</v>
      </c>
      <c r="J7" s="70">
        <v>-23750000</v>
      </c>
      <c r="K7" s="70" t="s">
        <v>18</v>
      </c>
      <c r="L7" s="70">
        <v>47.5</v>
      </c>
      <c r="M7" s="70" t="s">
        <v>83</v>
      </c>
      <c r="N7" s="70" t="s">
        <v>115</v>
      </c>
      <c r="O7" s="70" t="s">
        <v>85</v>
      </c>
      <c r="P7" s="70">
        <v>-123786.82771083</v>
      </c>
      <c r="Q7" s="70">
        <v>0</v>
      </c>
      <c r="R7" s="70">
        <v>-123786.82771083</v>
      </c>
      <c r="S7" s="56"/>
    </row>
    <row r="8" spans="1:19" ht="15" customHeight="1" x14ac:dyDescent="0.25">
      <c r="A8" s="70">
        <v>8802001</v>
      </c>
      <c r="B8" s="70" t="s">
        <v>98</v>
      </c>
      <c r="C8" s="71">
        <v>44062.267951388887</v>
      </c>
      <c r="D8" s="72">
        <v>44085</v>
      </c>
      <c r="E8" s="70" t="s">
        <v>88</v>
      </c>
      <c r="F8" s="70" t="s">
        <v>88</v>
      </c>
      <c r="G8" s="70" t="s">
        <v>86</v>
      </c>
      <c r="H8" s="70">
        <v>500000</v>
      </c>
      <c r="I8" s="70" t="s">
        <v>22</v>
      </c>
      <c r="J8" s="70">
        <v>-597050</v>
      </c>
      <c r="K8" s="70" t="s">
        <v>17</v>
      </c>
      <c r="L8" s="70">
        <v>1.1940999999999999</v>
      </c>
      <c r="M8" s="70" t="s">
        <v>83</v>
      </c>
      <c r="N8" s="70" t="s">
        <v>89</v>
      </c>
      <c r="O8" s="70" t="s">
        <v>85</v>
      </c>
      <c r="P8" s="70">
        <v>-310380.90395429399</v>
      </c>
      <c r="Q8" s="70">
        <v>0</v>
      </c>
      <c r="R8" s="70">
        <v>-310380.90395429399</v>
      </c>
      <c r="S8" s="56"/>
    </row>
    <row r="9" spans="1:19" ht="15" customHeight="1" x14ac:dyDescent="0.25">
      <c r="A9" s="70">
        <v>8797817</v>
      </c>
      <c r="B9" s="70" t="s">
        <v>98</v>
      </c>
      <c r="C9" s="71">
        <v>44061.297314814816</v>
      </c>
      <c r="D9" s="72">
        <v>44266</v>
      </c>
      <c r="E9" s="70" t="s">
        <v>104</v>
      </c>
      <c r="F9" s="70" t="s">
        <v>104</v>
      </c>
      <c r="G9" s="70" t="s">
        <v>82</v>
      </c>
      <c r="H9" s="70">
        <v>-720000</v>
      </c>
      <c r="I9" s="70" t="s">
        <v>17</v>
      </c>
      <c r="J9" s="70">
        <v>28656000</v>
      </c>
      <c r="K9" s="70" t="s">
        <v>18</v>
      </c>
      <c r="L9" s="70">
        <v>39.799999999999997</v>
      </c>
      <c r="M9" s="70" t="s">
        <v>83</v>
      </c>
      <c r="N9" s="70" t="s">
        <v>115</v>
      </c>
      <c r="O9" s="70" t="s">
        <v>85</v>
      </c>
      <c r="P9" s="70">
        <v>-248546.198033027</v>
      </c>
      <c r="Q9" s="70">
        <v>0</v>
      </c>
      <c r="R9" s="70">
        <v>-248546.198033027</v>
      </c>
      <c r="S9" s="56"/>
    </row>
    <row r="10" spans="1:19" ht="15" customHeight="1" x14ac:dyDescent="0.25">
      <c r="A10" s="70">
        <v>8797463</v>
      </c>
      <c r="B10" s="70" t="s">
        <v>98</v>
      </c>
      <c r="C10" s="71">
        <v>44061.207604166666</v>
      </c>
      <c r="D10" s="72">
        <v>44085</v>
      </c>
      <c r="E10" s="70" t="s">
        <v>88</v>
      </c>
      <c r="F10" s="70" t="s">
        <v>88</v>
      </c>
      <c r="G10" s="70" t="s">
        <v>86</v>
      </c>
      <c r="H10" s="70">
        <v>500000</v>
      </c>
      <c r="I10" s="70" t="s">
        <v>22</v>
      </c>
      <c r="J10" s="70">
        <v>-594600</v>
      </c>
      <c r="K10" s="70" t="s">
        <v>17</v>
      </c>
      <c r="L10" s="70">
        <v>1.1892</v>
      </c>
      <c r="M10" s="70" t="s">
        <v>83</v>
      </c>
      <c r="N10" s="70" t="s">
        <v>115</v>
      </c>
      <c r="O10" s="70" t="s">
        <v>85</v>
      </c>
      <c r="P10" s="70">
        <v>-212764.07583690801</v>
      </c>
      <c r="Q10" s="70">
        <v>0</v>
      </c>
      <c r="R10" s="70">
        <v>-212764.07583690801</v>
      </c>
      <c r="S10" s="56"/>
    </row>
    <row r="11" spans="1:19" ht="15" customHeight="1" x14ac:dyDescent="0.25">
      <c r="A11" s="70">
        <v>8794326</v>
      </c>
      <c r="B11" s="70" t="s">
        <v>98</v>
      </c>
      <c r="C11" s="71">
        <v>44060.431064814817</v>
      </c>
      <c r="D11" s="72">
        <v>44238</v>
      </c>
      <c r="E11" s="70" t="s">
        <v>104</v>
      </c>
      <c r="F11" s="70" t="s">
        <v>104</v>
      </c>
      <c r="G11" s="70" t="s">
        <v>82</v>
      </c>
      <c r="H11" s="70">
        <v>-720000</v>
      </c>
      <c r="I11" s="70" t="s">
        <v>17</v>
      </c>
      <c r="J11" s="70">
        <v>28656000</v>
      </c>
      <c r="K11" s="70" t="s">
        <v>18</v>
      </c>
      <c r="L11" s="70">
        <v>39.799999999999997</v>
      </c>
      <c r="M11" s="70" t="s">
        <v>83</v>
      </c>
      <c r="N11" s="70" t="s">
        <v>115</v>
      </c>
      <c r="O11" s="70" t="s">
        <v>85</v>
      </c>
      <c r="P11" s="70">
        <v>-213813.46302352499</v>
      </c>
      <c r="Q11" s="70">
        <v>0</v>
      </c>
      <c r="R11" s="70">
        <v>-213813.46302352499</v>
      </c>
      <c r="S11" s="56"/>
    </row>
    <row r="12" spans="1:19" ht="15" customHeight="1" x14ac:dyDescent="0.25">
      <c r="A12" s="70">
        <v>8794298</v>
      </c>
      <c r="B12" s="70" t="s">
        <v>98</v>
      </c>
      <c r="C12" s="71">
        <v>44060.426874999997</v>
      </c>
      <c r="D12" s="72">
        <v>44279</v>
      </c>
      <c r="E12" s="70" t="s">
        <v>140</v>
      </c>
      <c r="F12" s="70" t="s">
        <v>140</v>
      </c>
      <c r="G12" s="70" t="s">
        <v>82</v>
      </c>
      <c r="H12" s="70">
        <v>-608279</v>
      </c>
      <c r="I12" s="70" t="s">
        <v>17</v>
      </c>
      <c r="J12" s="70">
        <v>24391987.899999999</v>
      </c>
      <c r="K12" s="70" t="s">
        <v>18</v>
      </c>
      <c r="L12" s="70">
        <v>40.1</v>
      </c>
      <c r="M12" s="70" t="s">
        <v>83</v>
      </c>
      <c r="N12" s="70" t="s">
        <v>106</v>
      </c>
      <c r="O12" s="70" t="s">
        <v>85</v>
      </c>
      <c r="P12" s="70">
        <v>-41834.009469952398</v>
      </c>
      <c r="Q12" s="70">
        <v>0</v>
      </c>
      <c r="R12" s="70">
        <v>-41834.009469952398</v>
      </c>
      <c r="S12" s="56"/>
    </row>
    <row r="13" spans="1:19" ht="15" customHeight="1" x14ac:dyDescent="0.25">
      <c r="A13" s="70">
        <v>8792768</v>
      </c>
      <c r="B13" s="70" t="s">
        <v>98</v>
      </c>
      <c r="C13" s="71">
        <v>44060.288252314815</v>
      </c>
      <c r="D13" s="72">
        <v>44208</v>
      </c>
      <c r="E13" s="70" t="s">
        <v>104</v>
      </c>
      <c r="F13" s="70" t="s">
        <v>104</v>
      </c>
      <c r="G13" s="70" t="s">
        <v>82</v>
      </c>
      <c r="H13" s="70">
        <v>-720000</v>
      </c>
      <c r="I13" s="70" t="s">
        <v>17</v>
      </c>
      <c r="J13" s="70">
        <v>28656000</v>
      </c>
      <c r="K13" s="70" t="s">
        <v>18</v>
      </c>
      <c r="L13" s="70">
        <v>39.799999999999997</v>
      </c>
      <c r="M13" s="70" t="s">
        <v>83</v>
      </c>
      <c r="N13" s="70" t="s">
        <v>115</v>
      </c>
      <c r="O13" s="70" t="s">
        <v>85</v>
      </c>
      <c r="P13" s="70">
        <v>-174952.13686654301</v>
      </c>
      <c r="Q13" s="70">
        <v>0</v>
      </c>
      <c r="R13" s="70">
        <v>-174952.13686654301</v>
      </c>
      <c r="S13" s="56"/>
    </row>
    <row r="14" spans="1:19" ht="15" customHeight="1" x14ac:dyDescent="0.25">
      <c r="A14" s="70">
        <v>8783658</v>
      </c>
      <c r="B14" s="70" t="s">
        <v>98</v>
      </c>
      <c r="C14" s="71">
        <v>44056.402083333334</v>
      </c>
      <c r="D14" s="72">
        <v>44140</v>
      </c>
      <c r="E14" s="70" t="s">
        <v>139</v>
      </c>
      <c r="F14" s="70" t="s">
        <v>139</v>
      </c>
      <c r="G14" s="70" t="s">
        <v>82</v>
      </c>
      <c r="H14" s="70">
        <v>-1000000</v>
      </c>
      <c r="I14" s="70" t="s">
        <v>17</v>
      </c>
      <c r="J14" s="70">
        <v>39790000</v>
      </c>
      <c r="K14" s="70" t="s">
        <v>18</v>
      </c>
      <c r="L14" s="70">
        <v>39.79</v>
      </c>
      <c r="M14" s="70" t="s">
        <v>83</v>
      </c>
      <c r="N14" s="70" t="s">
        <v>115</v>
      </c>
      <c r="O14" s="70" t="s">
        <v>85</v>
      </c>
      <c r="P14" s="70">
        <v>-154249.495191686</v>
      </c>
      <c r="Q14" s="70">
        <v>0</v>
      </c>
      <c r="R14" s="70">
        <v>-154249.495191686</v>
      </c>
      <c r="S14" s="56"/>
    </row>
    <row r="15" spans="1:19" ht="15" customHeight="1" x14ac:dyDescent="0.25">
      <c r="A15" s="70">
        <v>8765475</v>
      </c>
      <c r="B15" s="70" t="s">
        <v>98</v>
      </c>
      <c r="C15" s="71">
        <v>44054.410717592589</v>
      </c>
      <c r="D15" s="72">
        <v>44076</v>
      </c>
      <c r="E15" s="70" t="s">
        <v>138</v>
      </c>
      <c r="F15" s="70" t="s">
        <v>138</v>
      </c>
      <c r="G15" s="70" t="s">
        <v>82</v>
      </c>
      <c r="H15" s="70">
        <v>-500000</v>
      </c>
      <c r="I15" s="70" t="s">
        <v>17</v>
      </c>
      <c r="J15" s="70">
        <v>19970000</v>
      </c>
      <c r="K15" s="70" t="s">
        <v>18</v>
      </c>
      <c r="L15" s="70">
        <v>39.94</v>
      </c>
      <c r="M15" s="70" t="s">
        <v>83</v>
      </c>
      <c r="N15" s="70" t="s">
        <v>106</v>
      </c>
      <c r="O15" s="70" t="s">
        <v>85</v>
      </c>
      <c r="P15" s="70">
        <v>38318.039708692602</v>
      </c>
      <c r="Q15" s="70">
        <v>0</v>
      </c>
      <c r="R15" s="70">
        <v>38318.039708692602</v>
      </c>
      <c r="S15" s="56"/>
    </row>
    <row r="16" spans="1:19" ht="15" customHeight="1" x14ac:dyDescent="0.25">
      <c r="A16" s="70">
        <v>8764330</v>
      </c>
      <c r="B16" s="70" t="s">
        <v>98</v>
      </c>
      <c r="C16" s="71">
        <v>44054.319374999999</v>
      </c>
      <c r="D16" s="72">
        <v>44085</v>
      </c>
      <c r="E16" s="70" t="s">
        <v>135</v>
      </c>
      <c r="F16" s="70" t="s">
        <v>135</v>
      </c>
      <c r="G16" s="70" t="s">
        <v>82</v>
      </c>
      <c r="H16" s="70">
        <v>-200000</v>
      </c>
      <c r="I16" s="70" t="s">
        <v>17</v>
      </c>
      <c r="J16" s="70">
        <v>7996000</v>
      </c>
      <c r="K16" s="70" t="s">
        <v>18</v>
      </c>
      <c r="L16" s="70">
        <v>39.979999999999997</v>
      </c>
      <c r="M16" s="70" t="s">
        <v>83</v>
      </c>
      <c r="N16" s="70" t="s">
        <v>89</v>
      </c>
      <c r="O16" s="70" t="s">
        <v>85</v>
      </c>
      <c r="P16" s="70">
        <v>20903.9655536711</v>
      </c>
      <c r="Q16" s="70">
        <v>0</v>
      </c>
      <c r="R16" s="70">
        <v>20903.9655536711</v>
      </c>
      <c r="S16" s="56"/>
    </row>
    <row r="17" spans="1:19" ht="15" customHeight="1" x14ac:dyDescent="0.25">
      <c r="A17" s="70">
        <v>8761290</v>
      </c>
      <c r="B17" s="70" t="s">
        <v>98</v>
      </c>
      <c r="C17" s="71">
        <v>44053.480162037034</v>
      </c>
      <c r="D17" s="72">
        <v>44092</v>
      </c>
      <c r="E17" s="70" t="s">
        <v>136</v>
      </c>
      <c r="F17" s="70" t="s">
        <v>136</v>
      </c>
      <c r="G17" s="70" t="s">
        <v>82</v>
      </c>
      <c r="H17" s="70">
        <v>-1400000</v>
      </c>
      <c r="I17" s="70" t="s">
        <v>17</v>
      </c>
      <c r="J17" s="70">
        <v>55860000</v>
      </c>
      <c r="K17" s="70" t="s">
        <v>18</v>
      </c>
      <c r="L17" s="70">
        <v>39.9</v>
      </c>
      <c r="M17" s="70" t="s">
        <v>83</v>
      </c>
      <c r="N17" s="70" t="s">
        <v>115</v>
      </c>
      <c r="O17" s="70" t="s">
        <v>85</v>
      </c>
      <c r="P17" s="70">
        <v>21565.579674907</v>
      </c>
      <c r="Q17" s="70">
        <v>0</v>
      </c>
      <c r="R17" s="70">
        <v>21565.579674907</v>
      </c>
      <c r="S17" s="56"/>
    </row>
    <row r="18" spans="1:19" ht="15" customHeight="1" x14ac:dyDescent="0.25">
      <c r="A18" s="70">
        <v>8755604</v>
      </c>
      <c r="B18" s="70" t="s">
        <v>98</v>
      </c>
      <c r="C18" s="71">
        <v>44050.496481481481</v>
      </c>
      <c r="D18" s="72">
        <v>44172</v>
      </c>
      <c r="E18" s="70" t="s">
        <v>105</v>
      </c>
      <c r="F18" s="70" t="s">
        <v>105</v>
      </c>
      <c r="G18" s="70" t="s">
        <v>82</v>
      </c>
      <c r="H18" s="70">
        <v>-30000</v>
      </c>
      <c r="I18" s="70" t="s">
        <v>22</v>
      </c>
      <c r="J18" s="70">
        <v>1426500</v>
      </c>
      <c r="K18" s="70" t="s">
        <v>18</v>
      </c>
      <c r="L18" s="70">
        <v>47.55</v>
      </c>
      <c r="M18" s="70" t="s">
        <v>83</v>
      </c>
      <c r="N18" s="70" t="s">
        <v>106</v>
      </c>
      <c r="O18" s="70" t="s">
        <v>85</v>
      </c>
      <c r="P18" s="70">
        <v>10131.049962978999</v>
      </c>
      <c r="Q18" s="70">
        <v>0</v>
      </c>
      <c r="R18" s="70">
        <v>10131.049962978999</v>
      </c>
      <c r="S18" s="56"/>
    </row>
    <row r="19" spans="1:19" ht="15" customHeight="1" x14ac:dyDescent="0.25">
      <c r="A19" s="70">
        <v>8752805</v>
      </c>
      <c r="B19" s="70" t="s">
        <v>98</v>
      </c>
      <c r="C19" s="71">
        <v>44050.282037037039</v>
      </c>
      <c r="D19" s="72">
        <v>44186</v>
      </c>
      <c r="E19" s="70" t="s">
        <v>104</v>
      </c>
      <c r="F19" s="70" t="s">
        <v>104</v>
      </c>
      <c r="G19" s="70" t="s">
        <v>82</v>
      </c>
      <c r="H19" s="70">
        <v>-755000</v>
      </c>
      <c r="I19" s="70" t="s">
        <v>17</v>
      </c>
      <c r="J19" s="70">
        <v>30275500</v>
      </c>
      <c r="K19" s="70" t="s">
        <v>18</v>
      </c>
      <c r="L19" s="70">
        <v>40.1</v>
      </c>
      <c r="M19" s="70" t="s">
        <v>83</v>
      </c>
      <c r="N19" s="70" t="s">
        <v>115</v>
      </c>
      <c r="O19" s="70" t="s">
        <v>85</v>
      </c>
      <c r="P19" s="70">
        <v>69294.945143826306</v>
      </c>
      <c r="Q19" s="70">
        <v>0</v>
      </c>
      <c r="R19" s="70">
        <v>69294.945143826306</v>
      </c>
      <c r="S19" s="56"/>
    </row>
    <row r="20" spans="1:19" ht="15" customHeight="1" x14ac:dyDescent="0.25">
      <c r="A20" s="70">
        <v>8748889</v>
      </c>
      <c r="B20" s="70" t="s">
        <v>98</v>
      </c>
      <c r="C20" s="71">
        <v>44049.371874999997</v>
      </c>
      <c r="D20" s="72">
        <v>44155</v>
      </c>
      <c r="E20" s="70" t="s">
        <v>104</v>
      </c>
      <c r="F20" s="70" t="s">
        <v>104</v>
      </c>
      <c r="G20" s="70" t="s">
        <v>82</v>
      </c>
      <c r="H20" s="70">
        <v>-860000</v>
      </c>
      <c r="I20" s="70" t="s">
        <v>17</v>
      </c>
      <c r="J20" s="70">
        <v>34486000</v>
      </c>
      <c r="K20" s="70" t="s">
        <v>18</v>
      </c>
      <c r="L20" s="70">
        <v>40.1</v>
      </c>
      <c r="M20" s="70" t="s">
        <v>83</v>
      </c>
      <c r="N20" s="70" t="s">
        <v>115</v>
      </c>
      <c r="O20" s="70" t="s">
        <v>85</v>
      </c>
      <c r="P20" s="70">
        <v>117232.465984382</v>
      </c>
      <c r="Q20" s="70">
        <v>0</v>
      </c>
      <c r="R20" s="70">
        <v>117232.465984382</v>
      </c>
      <c r="S20" s="56"/>
    </row>
    <row r="21" spans="1:19" ht="15" customHeight="1" x14ac:dyDescent="0.25">
      <c r="A21" s="70">
        <v>8748865</v>
      </c>
      <c r="B21" s="70" t="s">
        <v>98</v>
      </c>
      <c r="C21" s="71">
        <v>44049.37091435185</v>
      </c>
      <c r="D21" s="72">
        <v>44124</v>
      </c>
      <c r="E21" s="70" t="s">
        <v>104</v>
      </c>
      <c r="F21" s="70" t="s">
        <v>104</v>
      </c>
      <c r="G21" s="70" t="s">
        <v>82</v>
      </c>
      <c r="H21" s="70">
        <v>-860000</v>
      </c>
      <c r="I21" s="70" t="s">
        <v>17</v>
      </c>
      <c r="J21" s="70">
        <v>34477400</v>
      </c>
      <c r="K21" s="70" t="s">
        <v>18</v>
      </c>
      <c r="L21" s="70">
        <v>40.090000000000003</v>
      </c>
      <c r="M21" s="70" t="s">
        <v>83</v>
      </c>
      <c r="N21" s="70" t="s">
        <v>115</v>
      </c>
      <c r="O21" s="70" t="s">
        <v>85</v>
      </c>
      <c r="P21" s="70">
        <v>141644.49537108801</v>
      </c>
      <c r="Q21" s="70">
        <v>0</v>
      </c>
      <c r="R21" s="70">
        <v>141644.49537108801</v>
      </c>
      <c r="S21" s="56"/>
    </row>
    <row r="22" spans="1:19" ht="15" customHeight="1" x14ac:dyDescent="0.25">
      <c r="A22" s="70">
        <v>8748105</v>
      </c>
      <c r="B22" s="70" t="s">
        <v>98</v>
      </c>
      <c r="C22" s="71">
        <v>44049.291851851849</v>
      </c>
      <c r="D22" s="72">
        <v>44124</v>
      </c>
      <c r="E22" s="70" t="s">
        <v>127</v>
      </c>
      <c r="F22" s="70" t="s">
        <v>127</v>
      </c>
      <c r="G22" s="70" t="s">
        <v>82</v>
      </c>
      <c r="H22" s="70">
        <v>-5182</v>
      </c>
      <c r="I22" s="70" t="s">
        <v>22</v>
      </c>
      <c r="J22" s="70">
        <v>248217.8</v>
      </c>
      <c r="K22" s="70" t="s">
        <v>18</v>
      </c>
      <c r="L22" s="70">
        <v>47.9</v>
      </c>
      <c r="M22" s="70" t="s">
        <v>83</v>
      </c>
      <c r="N22" s="70" t="s">
        <v>106</v>
      </c>
      <c r="O22" s="70" t="s">
        <v>85</v>
      </c>
      <c r="P22" s="70">
        <v>4191.2188897343603</v>
      </c>
      <c r="Q22" s="70">
        <v>0</v>
      </c>
      <c r="R22" s="70">
        <v>4191.2188897343603</v>
      </c>
      <c r="S22" s="56"/>
    </row>
    <row r="23" spans="1:19" ht="15" customHeight="1" x14ac:dyDescent="0.25">
      <c r="A23" s="70">
        <v>8748087</v>
      </c>
      <c r="B23" s="70" t="s">
        <v>98</v>
      </c>
      <c r="C23" s="71">
        <v>44049.290034722224</v>
      </c>
      <c r="D23" s="72">
        <v>44120</v>
      </c>
      <c r="E23" s="70" t="s">
        <v>127</v>
      </c>
      <c r="F23" s="70" t="s">
        <v>127</v>
      </c>
      <c r="G23" s="70" t="s">
        <v>82</v>
      </c>
      <c r="H23" s="70">
        <v>-13428.6</v>
      </c>
      <c r="I23" s="70" t="s">
        <v>17</v>
      </c>
      <c r="J23" s="70">
        <v>539292.57999999996</v>
      </c>
      <c r="K23" s="70" t="s">
        <v>18</v>
      </c>
      <c r="L23" s="70">
        <v>40.159999999999997</v>
      </c>
      <c r="M23" s="70" t="s">
        <v>83</v>
      </c>
      <c r="N23" s="70" t="s">
        <v>106</v>
      </c>
      <c r="O23" s="70" t="s">
        <v>85</v>
      </c>
      <c r="P23" s="70">
        <v>3216.5685983527201</v>
      </c>
      <c r="Q23" s="70">
        <v>0</v>
      </c>
      <c r="R23" s="70">
        <v>3216.5685983527201</v>
      </c>
      <c r="S23" s="56"/>
    </row>
    <row r="24" spans="1:19" ht="15" customHeight="1" x14ac:dyDescent="0.25">
      <c r="A24" s="70">
        <v>8748070</v>
      </c>
      <c r="B24" s="70" t="s">
        <v>98</v>
      </c>
      <c r="C24" s="71">
        <v>44049.288981481484</v>
      </c>
      <c r="D24" s="72">
        <v>44098</v>
      </c>
      <c r="E24" s="70" t="s">
        <v>127</v>
      </c>
      <c r="F24" s="70" t="s">
        <v>127</v>
      </c>
      <c r="G24" s="70" t="s">
        <v>82</v>
      </c>
      <c r="H24" s="70">
        <v>-15591.08</v>
      </c>
      <c r="I24" s="70" t="s">
        <v>17</v>
      </c>
      <c r="J24" s="70">
        <v>625670.04</v>
      </c>
      <c r="K24" s="70" t="s">
        <v>18</v>
      </c>
      <c r="L24" s="70">
        <v>40.130000000000003</v>
      </c>
      <c r="M24" s="70" t="s">
        <v>83</v>
      </c>
      <c r="N24" s="70" t="s">
        <v>106</v>
      </c>
      <c r="O24" s="70" t="s">
        <v>85</v>
      </c>
      <c r="P24" s="70">
        <v>3700.6309631168801</v>
      </c>
      <c r="Q24" s="70">
        <v>0</v>
      </c>
      <c r="R24" s="70">
        <v>3700.6309631168801</v>
      </c>
      <c r="S24" s="56"/>
    </row>
    <row r="25" spans="1:19" ht="15" customHeight="1" x14ac:dyDescent="0.25">
      <c r="A25" s="70">
        <v>8740200</v>
      </c>
      <c r="B25" s="70" t="s">
        <v>98</v>
      </c>
      <c r="C25" s="71">
        <v>44048.35728009259</v>
      </c>
      <c r="D25" s="72">
        <v>44084</v>
      </c>
      <c r="E25" s="70" t="s">
        <v>129</v>
      </c>
      <c r="F25" s="70" t="s">
        <v>129</v>
      </c>
      <c r="G25" s="70" t="s">
        <v>82</v>
      </c>
      <c r="H25" s="70">
        <v>-191579.43</v>
      </c>
      <c r="I25" s="70" t="s">
        <v>22</v>
      </c>
      <c r="J25" s="70">
        <v>9078949.1899999995</v>
      </c>
      <c r="K25" s="70" t="s">
        <v>18</v>
      </c>
      <c r="L25" s="70">
        <v>47.39</v>
      </c>
      <c r="M25" s="70" t="s">
        <v>83</v>
      </c>
      <c r="N25" s="70" t="s">
        <v>115</v>
      </c>
      <c r="O25" s="70" t="s">
        <v>85</v>
      </c>
      <c r="P25" s="70">
        <v>76299.973528500603</v>
      </c>
      <c r="Q25" s="70">
        <v>0</v>
      </c>
      <c r="R25" s="70">
        <v>76299.973528500603</v>
      </c>
      <c r="S25" s="56"/>
    </row>
    <row r="26" spans="1:19" ht="15" customHeight="1" x14ac:dyDescent="0.25">
      <c r="A26" s="70">
        <v>8737150</v>
      </c>
      <c r="B26" s="70" t="s">
        <v>98</v>
      </c>
      <c r="C26" s="71">
        <v>44047.400543981479</v>
      </c>
      <c r="D26" s="72">
        <v>44084</v>
      </c>
      <c r="E26" s="70" t="s">
        <v>134</v>
      </c>
      <c r="F26" s="70" t="s">
        <v>134</v>
      </c>
      <c r="G26" s="70" t="s">
        <v>82</v>
      </c>
      <c r="H26" s="70">
        <v>-70363.960000000006</v>
      </c>
      <c r="I26" s="70" t="s">
        <v>17</v>
      </c>
      <c r="J26" s="70">
        <v>2825112.99</v>
      </c>
      <c r="K26" s="70" t="s">
        <v>18</v>
      </c>
      <c r="L26" s="70">
        <v>40.15</v>
      </c>
      <c r="M26" s="70" t="s">
        <v>83</v>
      </c>
      <c r="N26" s="70" t="s">
        <v>106</v>
      </c>
      <c r="O26" s="70" t="s">
        <v>85</v>
      </c>
      <c r="P26" s="70">
        <v>19400.686175721199</v>
      </c>
      <c r="Q26" s="70">
        <v>0</v>
      </c>
      <c r="R26" s="70">
        <v>19400.686175721199</v>
      </c>
      <c r="S26" s="56"/>
    </row>
    <row r="27" spans="1:19" ht="15" customHeight="1" x14ac:dyDescent="0.25">
      <c r="A27" s="70">
        <v>8737116</v>
      </c>
      <c r="B27" s="70" t="s">
        <v>98</v>
      </c>
      <c r="C27" s="71">
        <v>44047.398298611108</v>
      </c>
      <c r="D27" s="72">
        <v>44078</v>
      </c>
      <c r="E27" s="70" t="s">
        <v>134</v>
      </c>
      <c r="F27" s="70" t="s">
        <v>134</v>
      </c>
      <c r="G27" s="70" t="s">
        <v>82</v>
      </c>
      <c r="H27" s="70">
        <v>-276756.5</v>
      </c>
      <c r="I27" s="70" t="s">
        <v>17</v>
      </c>
      <c r="J27" s="70">
        <v>11111773.48</v>
      </c>
      <c r="K27" s="70" t="s">
        <v>18</v>
      </c>
      <c r="L27" s="70">
        <v>40.15</v>
      </c>
      <c r="M27" s="70" t="s">
        <v>83</v>
      </c>
      <c r="N27" s="70" t="s">
        <v>106</v>
      </c>
      <c r="O27" s="70" t="s">
        <v>85</v>
      </c>
      <c r="P27" s="70">
        <v>78546.335103649602</v>
      </c>
      <c r="Q27" s="70">
        <v>0</v>
      </c>
      <c r="R27" s="70">
        <v>78546.335103649602</v>
      </c>
      <c r="S27" s="56"/>
    </row>
    <row r="28" spans="1:19" ht="15" customHeight="1" x14ac:dyDescent="0.25">
      <c r="A28" s="70">
        <v>8735910</v>
      </c>
      <c r="B28" s="70" t="s">
        <v>98</v>
      </c>
      <c r="C28" s="71">
        <v>44047.299224537041</v>
      </c>
      <c r="D28" s="72">
        <v>44092</v>
      </c>
      <c r="E28" s="70" t="s">
        <v>127</v>
      </c>
      <c r="F28" s="70" t="s">
        <v>127</v>
      </c>
      <c r="G28" s="70" t="s">
        <v>82</v>
      </c>
      <c r="H28" s="70">
        <v>-193126.14</v>
      </c>
      <c r="I28" s="70" t="s">
        <v>17</v>
      </c>
      <c r="J28" s="70">
        <v>7754014.5199999996</v>
      </c>
      <c r="K28" s="70" t="s">
        <v>18</v>
      </c>
      <c r="L28" s="70">
        <v>40.15</v>
      </c>
      <c r="M28" s="70" t="s">
        <v>83</v>
      </c>
      <c r="N28" s="70" t="s">
        <v>106</v>
      </c>
      <c r="O28" s="70" t="s">
        <v>85</v>
      </c>
      <c r="P28" s="70">
        <v>51204.964455804802</v>
      </c>
      <c r="Q28" s="70">
        <v>0</v>
      </c>
      <c r="R28" s="70">
        <v>51204.964455804802</v>
      </c>
      <c r="S28" s="56"/>
    </row>
    <row r="29" spans="1:19" ht="15" customHeight="1" x14ac:dyDescent="0.25">
      <c r="A29" s="70">
        <v>8735905</v>
      </c>
      <c r="B29" s="70" t="s">
        <v>98</v>
      </c>
      <c r="C29" s="71">
        <v>44047.299120370371</v>
      </c>
      <c r="D29" s="72">
        <v>44074</v>
      </c>
      <c r="E29" s="70" t="s">
        <v>135</v>
      </c>
      <c r="F29" s="70" t="s">
        <v>135</v>
      </c>
      <c r="G29" s="70" t="s">
        <v>82</v>
      </c>
      <c r="H29" s="70">
        <v>-300000</v>
      </c>
      <c r="I29" s="70" t="s">
        <v>17</v>
      </c>
      <c r="J29" s="70">
        <v>12027000</v>
      </c>
      <c r="K29" s="70" t="s">
        <v>18</v>
      </c>
      <c r="L29" s="70">
        <v>40.090000000000003</v>
      </c>
      <c r="M29" s="70" t="s">
        <v>83</v>
      </c>
      <c r="N29" s="70" t="s">
        <v>115</v>
      </c>
      <c r="O29" s="70" t="s">
        <v>85</v>
      </c>
      <c r="P29" s="70">
        <v>68801.580318907305</v>
      </c>
      <c r="Q29" s="70">
        <v>0</v>
      </c>
      <c r="R29" s="70">
        <v>68801.580318907305</v>
      </c>
      <c r="S29" s="56"/>
    </row>
    <row r="30" spans="1:19" ht="15" customHeight="1" x14ac:dyDescent="0.25">
      <c r="A30" s="70">
        <v>8735494</v>
      </c>
      <c r="B30" s="70" t="s">
        <v>98</v>
      </c>
      <c r="C30" s="71">
        <v>44047.251527777778</v>
      </c>
      <c r="D30" s="72">
        <v>44095</v>
      </c>
      <c r="E30" s="70" t="s">
        <v>104</v>
      </c>
      <c r="F30" s="70" t="s">
        <v>104</v>
      </c>
      <c r="G30" s="70" t="s">
        <v>82</v>
      </c>
      <c r="H30" s="70">
        <v>-1100000</v>
      </c>
      <c r="I30" s="70" t="s">
        <v>17</v>
      </c>
      <c r="J30" s="70">
        <v>44176000</v>
      </c>
      <c r="K30" s="70" t="s">
        <v>18</v>
      </c>
      <c r="L30" s="70">
        <v>40.159999999999997</v>
      </c>
      <c r="M30" s="70" t="s">
        <v>83</v>
      </c>
      <c r="N30" s="70" t="s">
        <v>115</v>
      </c>
      <c r="O30" s="70" t="s">
        <v>85</v>
      </c>
      <c r="P30" s="70">
        <v>298330.46345899999</v>
      </c>
      <c r="Q30" s="70">
        <v>0</v>
      </c>
      <c r="R30" s="70">
        <v>298330.46345899999</v>
      </c>
      <c r="S30" s="56"/>
    </row>
    <row r="31" spans="1:19" ht="15" customHeight="1" x14ac:dyDescent="0.25">
      <c r="A31" s="70">
        <v>8726940</v>
      </c>
      <c r="B31" s="70" t="s">
        <v>98</v>
      </c>
      <c r="C31" s="71">
        <v>44043.348530092589</v>
      </c>
      <c r="D31" s="72">
        <v>44089</v>
      </c>
      <c r="E31" s="70" t="s">
        <v>124</v>
      </c>
      <c r="F31" s="70" t="s">
        <v>124</v>
      </c>
      <c r="G31" s="70" t="s">
        <v>82</v>
      </c>
      <c r="H31" s="70">
        <v>-108619</v>
      </c>
      <c r="I31" s="70" t="s">
        <v>22</v>
      </c>
      <c r="J31" s="70">
        <v>5202850.0999999996</v>
      </c>
      <c r="K31" s="70" t="s">
        <v>18</v>
      </c>
      <c r="L31" s="70">
        <v>47.9</v>
      </c>
      <c r="M31" s="70" t="s">
        <v>83</v>
      </c>
      <c r="N31" s="70" t="s">
        <v>106</v>
      </c>
      <c r="O31" s="70" t="s">
        <v>85</v>
      </c>
      <c r="P31" s="70">
        <v>97230.732762081505</v>
      </c>
      <c r="Q31" s="70">
        <v>0</v>
      </c>
      <c r="R31" s="70">
        <v>97230.732762081505</v>
      </c>
      <c r="S31" s="56"/>
    </row>
    <row r="32" spans="1:19" ht="15" customHeight="1" x14ac:dyDescent="0.25">
      <c r="A32" s="70">
        <v>8726751</v>
      </c>
      <c r="B32" s="70" t="s">
        <v>98</v>
      </c>
      <c r="C32" s="71">
        <v>44043.302534722221</v>
      </c>
      <c r="D32" s="72">
        <v>44124</v>
      </c>
      <c r="E32" s="70" t="s">
        <v>129</v>
      </c>
      <c r="F32" s="70" t="s">
        <v>129</v>
      </c>
      <c r="G32" s="70" t="s">
        <v>82</v>
      </c>
      <c r="H32" s="70">
        <v>-115938</v>
      </c>
      <c r="I32" s="70" t="s">
        <v>17</v>
      </c>
      <c r="J32" s="70">
        <v>4643316.9000000004</v>
      </c>
      <c r="K32" s="70" t="s">
        <v>18</v>
      </c>
      <c r="L32" s="70">
        <v>40.049999999999997</v>
      </c>
      <c r="M32" s="70" t="s">
        <v>83</v>
      </c>
      <c r="N32" s="70" t="s">
        <v>115</v>
      </c>
      <c r="O32" s="70" t="s">
        <v>85</v>
      </c>
      <c r="P32" s="70">
        <v>14468.492368818301</v>
      </c>
      <c r="Q32" s="70">
        <v>0</v>
      </c>
      <c r="R32" s="70">
        <v>14468.492368818301</v>
      </c>
      <c r="S32" s="56"/>
    </row>
    <row r="33" spans="1:19" ht="15" customHeight="1" x14ac:dyDescent="0.25">
      <c r="A33" s="70">
        <v>8726740</v>
      </c>
      <c r="B33" s="70" t="s">
        <v>98</v>
      </c>
      <c r="C33" s="71">
        <v>44043.296875</v>
      </c>
      <c r="D33" s="72">
        <v>44151</v>
      </c>
      <c r="E33" s="70" t="s">
        <v>129</v>
      </c>
      <c r="F33" s="70" t="s">
        <v>129</v>
      </c>
      <c r="G33" s="70" t="s">
        <v>82</v>
      </c>
      <c r="H33" s="70">
        <v>-74577300.599999994</v>
      </c>
      <c r="I33" s="70" t="s">
        <v>16</v>
      </c>
      <c r="J33" s="70">
        <v>28712260.73</v>
      </c>
      <c r="K33" s="70" t="s">
        <v>18</v>
      </c>
      <c r="L33" s="70">
        <v>0.38500000000000001</v>
      </c>
      <c r="M33" s="70" t="s">
        <v>83</v>
      </c>
      <c r="N33" s="70" t="s">
        <v>115</v>
      </c>
      <c r="O33" s="70" t="s">
        <v>85</v>
      </c>
      <c r="P33" s="70">
        <v>502307.26442491298</v>
      </c>
      <c r="Q33" s="70">
        <v>0</v>
      </c>
      <c r="R33" s="70">
        <v>502307.26442491298</v>
      </c>
      <c r="S33" s="56"/>
    </row>
    <row r="34" spans="1:19" ht="15" customHeight="1" x14ac:dyDescent="0.25">
      <c r="A34" s="70">
        <v>8720900</v>
      </c>
      <c r="B34" s="70" t="s">
        <v>98</v>
      </c>
      <c r="C34" s="71">
        <v>44042.2815625</v>
      </c>
      <c r="D34" s="72">
        <v>44180</v>
      </c>
      <c r="E34" s="70" t="s">
        <v>88</v>
      </c>
      <c r="F34" s="70" t="s">
        <v>88</v>
      </c>
      <c r="G34" s="70" t="s">
        <v>86</v>
      </c>
      <c r="H34" s="70">
        <v>500000</v>
      </c>
      <c r="I34" s="70" t="s">
        <v>22</v>
      </c>
      <c r="J34" s="70">
        <v>-23800000</v>
      </c>
      <c r="K34" s="70" t="s">
        <v>18</v>
      </c>
      <c r="L34" s="70">
        <v>47.6</v>
      </c>
      <c r="M34" s="70" t="s">
        <v>83</v>
      </c>
      <c r="N34" s="70" t="s">
        <v>115</v>
      </c>
      <c r="O34" s="70" t="s">
        <v>85</v>
      </c>
      <c r="P34" s="70">
        <v>-182323.13771922499</v>
      </c>
      <c r="Q34" s="70">
        <v>0</v>
      </c>
      <c r="R34" s="70">
        <v>-182323.13771922499</v>
      </c>
      <c r="S34" s="56"/>
    </row>
    <row r="35" spans="1:19" ht="15" customHeight="1" x14ac:dyDescent="0.25">
      <c r="A35" s="70">
        <v>8708139</v>
      </c>
      <c r="B35" s="70" t="s">
        <v>98</v>
      </c>
      <c r="C35" s="71">
        <v>44040.255995370368</v>
      </c>
      <c r="D35" s="72">
        <v>44078</v>
      </c>
      <c r="E35" s="70" t="s">
        <v>88</v>
      </c>
      <c r="F35" s="70" t="s">
        <v>88</v>
      </c>
      <c r="G35" s="70" t="s">
        <v>86</v>
      </c>
      <c r="H35" s="70">
        <v>500000</v>
      </c>
      <c r="I35" s="70" t="s">
        <v>22</v>
      </c>
      <c r="J35" s="70">
        <v>-587000</v>
      </c>
      <c r="K35" s="70" t="s">
        <v>17</v>
      </c>
      <c r="L35" s="70">
        <v>1.1739999999999999</v>
      </c>
      <c r="M35" s="70" t="s">
        <v>83</v>
      </c>
      <c r="N35" s="70" t="s">
        <v>115</v>
      </c>
      <c r="O35" s="70" t="s">
        <v>85</v>
      </c>
      <c r="P35" s="70">
        <v>86705.017567805902</v>
      </c>
      <c r="Q35" s="70">
        <v>0</v>
      </c>
      <c r="R35" s="70">
        <v>86705.017567805902</v>
      </c>
      <c r="S35" s="56"/>
    </row>
    <row r="36" spans="1:19" ht="15" customHeight="1" x14ac:dyDescent="0.25">
      <c r="A36" s="70">
        <v>8702521</v>
      </c>
      <c r="B36" s="70" t="s">
        <v>98</v>
      </c>
      <c r="C36" s="71">
        <v>44039.288437499999</v>
      </c>
      <c r="D36" s="72">
        <v>44175</v>
      </c>
      <c r="E36" s="70" t="s">
        <v>88</v>
      </c>
      <c r="F36" s="70" t="s">
        <v>88</v>
      </c>
      <c r="G36" s="70" t="s">
        <v>86</v>
      </c>
      <c r="H36" s="70">
        <v>500000</v>
      </c>
      <c r="I36" s="70" t="s">
        <v>22</v>
      </c>
      <c r="J36" s="70">
        <v>-23800000</v>
      </c>
      <c r="K36" s="70" t="s">
        <v>18</v>
      </c>
      <c r="L36" s="70">
        <v>47.6</v>
      </c>
      <c r="M36" s="70" t="s">
        <v>83</v>
      </c>
      <c r="N36" s="70" t="s">
        <v>115</v>
      </c>
      <c r="O36" s="70" t="s">
        <v>85</v>
      </c>
      <c r="P36" s="70">
        <v>-189499.90660360799</v>
      </c>
      <c r="Q36" s="70">
        <v>0</v>
      </c>
      <c r="R36" s="70">
        <v>-189499.90660360799</v>
      </c>
      <c r="S36" s="56"/>
    </row>
    <row r="37" spans="1:19" ht="15" customHeight="1" x14ac:dyDescent="0.25">
      <c r="A37" s="70">
        <v>8697055</v>
      </c>
      <c r="B37" s="70" t="s">
        <v>98</v>
      </c>
      <c r="C37" s="71">
        <v>44036.333692129629</v>
      </c>
      <c r="D37" s="72">
        <v>44225</v>
      </c>
      <c r="E37" s="70" t="s">
        <v>128</v>
      </c>
      <c r="F37" s="70" t="s">
        <v>128</v>
      </c>
      <c r="G37" s="70" t="s">
        <v>82</v>
      </c>
      <c r="H37" s="70">
        <v>-10000</v>
      </c>
      <c r="I37" s="70" t="s">
        <v>22</v>
      </c>
      <c r="J37" s="70">
        <v>475600</v>
      </c>
      <c r="K37" s="70" t="s">
        <v>18</v>
      </c>
      <c r="L37" s="70">
        <v>47.56</v>
      </c>
      <c r="M37" s="70" t="s">
        <v>108</v>
      </c>
      <c r="N37" s="70" t="s">
        <v>117</v>
      </c>
      <c r="O37" s="70" t="s">
        <v>85</v>
      </c>
      <c r="P37" s="70">
        <v>1820.2408729804999</v>
      </c>
      <c r="Q37" s="70">
        <v>0</v>
      </c>
      <c r="R37" s="70">
        <v>1820.2408729804999</v>
      </c>
      <c r="S37" s="56"/>
    </row>
    <row r="38" spans="1:19" ht="15" customHeight="1" x14ac:dyDescent="0.25">
      <c r="A38" s="70">
        <v>8697043</v>
      </c>
      <c r="B38" s="70" t="s">
        <v>98</v>
      </c>
      <c r="C38" s="71">
        <v>44036.331400462965</v>
      </c>
      <c r="D38" s="72">
        <v>44225</v>
      </c>
      <c r="E38" s="70" t="s">
        <v>128</v>
      </c>
      <c r="F38" s="70" t="s">
        <v>128</v>
      </c>
      <c r="G38" s="70" t="s">
        <v>82</v>
      </c>
      <c r="H38" s="70">
        <v>-5000</v>
      </c>
      <c r="I38" s="70" t="s">
        <v>17</v>
      </c>
      <c r="J38" s="70">
        <v>202400</v>
      </c>
      <c r="K38" s="70" t="s">
        <v>18</v>
      </c>
      <c r="L38" s="70">
        <v>40.479999999999997</v>
      </c>
      <c r="M38" s="70" t="s">
        <v>108</v>
      </c>
      <c r="N38" s="70" t="s">
        <v>117</v>
      </c>
      <c r="O38" s="70" t="s">
        <v>85</v>
      </c>
      <c r="P38" s="70">
        <v>2010.68669874431</v>
      </c>
      <c r="Q38" s="70">
        <v>0</v>
      </c>
      <c r="R38" s="70">
        <v>2010.68669874431</v>
      </c>
      <c r="S38" s="56"/>
    </row>
    <row r="39" spans="1:19" ht="15" customHeight="1" x14ac:dyDescent="0.25">
      <c r="A39" s="70">
        <v>8696546</v>
      </c>
      <c r="B39" s="70" t="s">
        <v>98</v>
      </c>
      <c r="C39" s="71">
        <v>44036.288645833331</v>
      </c>
      <c r="D39" s="72">
        <v>44119</v>
      </c>
      <c r="E39" s="70" t="s">
        <v>105</v>
      </c>
      <c r="F39" s="70" t="s">
        <v>105</v>
      </c>
      <c r="G39" s="70" t="s">
        <v>82</v>
      </c>
      <c r="H39" s="70">
        <v>-85000</v>
      </c>
      <c r="I39" s="70" t="s">
        <v>22</v>
      </c>
      <c r="J39" s="70">
        <v>4029000</v>
      </c>
      <c r="K39" s="70" t="s">
        <v>18</v>
      </c>
      <c r="L39" s="70">
        <v>47.4</v>
      </c>
      <c r="M39" s="70" t="s">
        <v>83</v>
      </c>
      <c r="N39" s="70" t="s">
        <v>106</v>
      </c>
      <c r="O39" s="70" t="s">
        <v>85</v>
      </c>
      <c r="P39" s="70">
        <v>27377.2647738704</v>
      </c>
      <c r="Q39" s="70">
        <v>0</v>
      </c>
      <c r="R39" s="70">
        <v>27377.2647738704</v>
      </c>
      <c r="S39" s="56"/>
    </row>
    <row r="40" spans="1:19" ht="15" customHeight="1" x14ac:dyDescent="0.25">
      <c r="A40" s="70">
        <v>8696241</v>
      </c>
      <c r="B40" s="70" t="s">
        <v>98</v>
      </c>
      <c r="C40" s="71">
        <v>44036.232708333337</v>
      </c>
      <c r="D40" s="72">
        <v>44130</v>
      </c>
      <c r="E40" s="70" t="s">
        <v>129</v>
      </c>
      <c r="F40" s="70" t="s">
        <v>129</v>
      </c>
      <c r="G40" s="70" t="s">
        <v>82</v>
      </c>
      <c r="H40" s="70">
        <v>-500000</v>
      </c>
      <c r="I40" s="70" t="s">
        <v>22</v>
      </c>
      <c r="J40" s="70">
        <v>23750000</v>
      </c>
      <c r="K40" s="70" t="s">
        <v>18</v>
      </c>
      <c r="L40" s="70">
        <v>47.5</v>
      </c>
      <c r="M40" s="70" t="s">
        <v>83</v>
      </c>
      <c r="N40" s="70" t="s">
        <v>115</v>
      </c>
      <c r="O40" s="70" t="s">
        <v>85</v>
      </c>
      <c r="P40" s="70">
        <v>197534.55115556301</v>
      </c>
      <c r="Q40" s="70">
        <v>0</v>
      </c>
      <c r="R40" s="70">
        <v>197534.55115556301</v>
      </c>
      <c r="S40" s="56"/>
    </row>
    <row r="41" spans="1:19" ht="15" customHeight="1" x14ac:dyDescent="0.25">
      <c r="A41" s="70">
        <v>8684112</v>
      </c>
      <c r="B41" s="70" t="s">
        <v>98</v>
      </c>
      <c r="C41" s="71">
        <v>44034.317800925928</v>
      </c>
      <c r="D41" s="72">
        <v>44133</v>
      </c>
      <c r="E41" s="70" t="s">
        <v>88</v>
      </c>
      <c r="F41" s="70" t="s">
        <v>88</v>
      </c>
      <c r="G41" s="70" t="s">
        <v>86</v>
      </c>
      <c r="H41" s="70">
        <v>500000</v>
      </c>
      <c r="I41" s="70" t="s">
        <v>22</v>
      </c>
      <c r="J41" s="70">
        <v>-23375000</v>
      </c>
      <c r="K41" s="70" t="s">
        <v>18</v>
      </c>
      <c r="L41" s="70">
        <v>46.75</v>
      </c>
      <c r="M41" s="70" t="s">
        <v>83</v>
      </c>
      <c r="N41" s="70" t="s">
        <v>115</v>
      </c>
      <c r="O41" s="70" t="s">
        <v>85</v>
      </c>
      <c r="P41" s="70">
        <v>180149.82557249401</v>
      </c>
      <c r="Q41" s="70">
        <v>0</v>
      </c>
      <c r="R41" s="70">
        <v>180149.82557249401</v>
      </c>
      <c r="S41" s="56"/>
    </row>
    <row r="42" spans="1:19" ht="15" customHeight="1" x14ac:dyDescent="0.25">
      <c r="A42" s="70">
        <v>8643808</v>
      </c>
      <c r="B42" s="70" t="s">
        <v>98</v>
      </c>
      <c r="C42" s="71">
        <v>44026.289826388886</v>
      </c>
      <c r="D42" s="72">
        <v>44175</v>
      </c>
      <c r="E42" s="70" t="s">
        <v>116</v>
      </c>
      <c r="F42" s="70" t="s">
        <v>116</v>
      </c>
      <c r="G42" s="70" t="s">
        <v>86</v>
      </c>
      <c r="H42" s="70">
        <v>400000</v>
      </c>
      <c r="I42" s="70" t="s">
        <v>17</v>
      </c>
      <c r="J42" s="70">
        <v>-15940000</v>
      </c>
      <c r="K42" s="70" t="s">
        <v>18</v>
      </c>
      <c r="L42" s="70">
        <v>39.85</v>
      </c>
      <c r="M42" s="70" t="s">
        <v>83</v>
      </c>
      <c r="N42" s="70" t="s">
        <v>115</v>
      </c>
      <c r="O42" s="70" t="s">
        <v>85</v>
      </c>
      <c r="P42" s="70">
        <v>56154.131272414699</v>
      </c>
      <c r="Q42" s="70">
        <v>0</v>
      </c>
      <c r="R42" s="70">
        <v>56154.131272414699</v>
      </c>
      <c r="S42" s="56"/>
    </row>
    <row r="43" spans="1:19" ht="15" customHeight="1" x14ac:dyDescent="0.25">
      <c r="A43" s="70">
        <v>8642601</v>
      </c>
      <c r="B43" s="70" t="s">
        <v>98</v>
      </c>
      <c r="C43" s="71">
        <v>44025.59138888889</v>
      </c>
      <c r="D43" s="72">
        <v>44155</v>
      </c>
      <c r="E43" s="70" t="s">
        <v>88</v>
      </c>
      <c r="F43" s="70" t="s">
        <v>88</v>
      </c>
      <c r="G43" s="70" t="s">
        <v>86</v>
      </c>
      <c r="H43" s="70">
        <v>500000</v>
      </c>
      <c r="I43" s="70" t="s">
        <v>22</v>
      </c>
      <c r="J43" s="70">
        <v>-23000000</v>
      </c>
      <c r="K43" s="70" t="s">
        <v>18</v>
      </c>
      <c r="L43" s="70">
        <v>46</v>
      </c>
      <c r="M43" s="70" t="s">
        <v>83</v>
      </c>
      <c r="N43" s="70" t="s">
        <v>89</v>
      </c>
      <c r="O43" s="70" t="s">
        <v>85</v>
      </c>
      <c r="P43" s="70">
        <v>580685.395273317</v>
      </c>
      <c r="Q43" s="70">
        <v>0</v>
      </c>
      <c r="R43" s="70">
        <v>580685.395273317</v>
      </c>
      <c r="S43" s="56"/>
    </row>
    <row r="44" spans="1:19" ht="15" customHeight="1" x14ac:dyDescent="0.25">
      <c r="A44" s="70">
        <v>8622323</v>
      </c>
      <c r="B44" s="70" t="s">
        <v>98</v>
      </c>
      <c r="C44" s="71">
        <v>44020.362407407411</v>
      </c>
      <c r="D44" s="72">
        <v>44095</v>
      </c>
      <c r="E44" s="70" t="s">
        <v>124</v>
      </c>
      <c r="F44" s="70" t="s">
        <v>124</v>
      </c>
      <c r="G44" s="70" t="s">
        <v>82</v>
      </c>
      <c r="H44" s="70">
        <v>-100000</v>
      </c>
      <c r="I44" s="70" t="s">
        <v>17</v>
      </c>
      <c r="J44" s="70">
        <v>4037000</v>
      </c>
      <c r="K44" s="70" t="s">
        <v>18</v>
      </c>
      <c r="L44" s="70">
        <v>40.369999999999997</v>
      </c>
      <c r="M44" s="70" t="s">
        <v>83</v>
      </c>
      <c r="N44" s="70" t="s">
        <v>106</v>
      </c>
      <c r="O44" s="70" t="s">
        <v>85</v>
      </c>
      <c r="P44" s="70">
        <v>48096.128361245203</v>
      </c>
      <c r="Q44" s="70">
        <v>0</v>
      </c>
      <c r="R44" s="70">
        <v>48096.128361245203</v>
      </c>
      <c r="S44" s="56"/>
    </row>
    <row r="45" spans="1:19" ht="15" customHeight="1" x14ac:dyDescent="0.25">
      <c r="A45" s="70">
        <v>8615579</v>
      </c>
      <c r="B45" s="70" t="s">
        <v>98</v>
      </c>
      <c r="C45" s="71">
        <v>44018.50986111111</v>
      </c>
      <c r="D45" s="72">
        <v>44083</v>
      </c>
      <c r="E45" s="70" t="s">
        <v>105</v>
      </c>
      <c r="F45" s="70" t="s">
        <v>105</v>
      </c>
      <c r="G45" s="70" t="s">
        <v>82</v>
      </c>
      <c r="H45" s="70">
        <v>-38000</v>
      </c>
      <c r="I45" s="70" t="s">
        <v>17</v>
      </c>
      <c r="J45" s="70">
        <v>1527600</v>
      </c>
      <c r="K45" s="70" t="s">
        <v>18</v>
      </c>
      <c r="L45" s="70">
        <v>40.200000000000003</v>
      </c>
      <c r="M45" s="70" t="s">
        <v>83</v>
      </c>
      <c r="N45" s="70" t="s">
        <v>106</v>
      </c>
      <c r="O45" s="70" t="s">
        <v>85</v>
      </c>
      <c r="P45" s="70">
        <v>12426.8244702341</v>
      </c>
      <c r="Q45" s="70">
        <v>0</v>
      </c>
      <c r="R45" s="70">
        <v>12426.8244702341</v>
      </c>
      <c r="S45" s="56"/>
    </row>
    <row r="46" spans="1:19" ht="15" customHeight="1" x14ac:dyDescent="0.25">
      <c r="A46" s="70">
        <v>8606950</v>
      </c>
      <c r="B46" s="70" t="s">
        <v>98</v>
      </c>
      <c r="C46" s="71">
        <v>44015.391099537039</v>
      </c>
      <c r="D46" s="72">
        <v>44158</v>
      </c>
      <c r="E46" s="70" t="s">
        <v>105</v>
      </c>
      <c r="F46" s="70" t="s">
        <v>105</v>
      </c>
      <c r="G46" s="70" t="s">
        <v>82</v>
      </c>
      <c r="H46" s="70">
        <v>-100000</v>
      </c>
      <c r="I46" s="70" t="s">
        <v>17</v>
      </c>
      <c r="J46" s="70">
        <v>4030000</v>
      </c>
      <c r="K46" s="70" t="s">
        <v>18</v>
      </c>
      <c r="L46" s="70">
        <v>40.299999999999997</v>
      </c>
      <c r="M46" s="70" t="s">
        <v>83</v>
      </c>
      <c r="N46" s="70" t="s">
        <v>106</v>
      </c>
      <c r="O46" s="70" t="s">
        <v>85</v>
      </c>
      <c r="P46" s="70">
        <v>33189.4976594732</v>
      </c>
      <c r="Q46" s="70">
        <v>0</v>
      </c>
      <c r="R46" s="70">
        <v>33189.4976594732</v>
      </c>
      <c r="S46" s="56"/>
    </row>
    <row r="47" spans="1:19" ht="15" customHeight="1" x14ac:dyDescent="0.25">
      <c r="A47" s="70">
        <v>8606667</v>
      </c>
      <c r="B47" s="70" t="s">
        <v>98</v>
      </c>
      <c r="C47" s="71">
        <v>44015.379618055558</v>
      </c>
      <c r="D47" s="72">
        <v>44134</v>
      </c>
      <c r="E47" s="70" t="s">
        <v>119</v>
      </c>
      <c r="F47" s="70" t="s">
        <v>119</v>
      </c>
      <c r="G47" s="70" t="s">
        <v>82</v>
      </c>
      <c r="H47" s="70">
        <v>-150000</v>
      </c>
      <c r="I47" s="70" t="s">
        <v>22</v>
      </c>
      <c r="J47" s="70">
        <v>6799500</v>
      </c>
      <c r="K47" s="70" t="s">
        <v>18</v>
      </c>
      <c r="L47" s="70">
        <v>45.33</v>
      </c>
      <c r="M47" s="70" t="s">
        <v>108</v>
      </c>
      <c r="N47" s="70" t="s">
        <v>117</v>
      </c>
      <c r="O47" s="70" t="s">
        <v>85</v>
      </c>
      <c r="P47" s="70">
        <v>-266835.03472669201</v>
      </c>
      <c r="Q47" s="70">
        <v>0</v>
      </c>
      <c r="R47" s="70">
        <v>-266835.03472669201</v>
      </c>
      <c r="S47" s="56"/>
    </row>
    <row r="48" spans="1:19" ht="15" customHeight="1" x14ac:dyDescent="0.25">
      <c r="A48" s="70">
        <v>8601532</v>
      </c>
      <c r="B48" s="70" t="s">
        <v>98</v>
      </c>
      <c r="C48" s="71">
        <v>44014.400763888887</v>
      </c>
      <c r="D48" s="72">
        <v>44104</v>
      </c>
      <c r="E48" s="70" t="s">
        <v>119</v>
      </c>
      <c r="F48" s="70" t="s">
        <v>119</v>
      </c>
      <c r="G48" s="70" t="s">
        <v>82</v>
      </c>
      <c r="H48" s="70">
        <v>-125000</v>
      </c>
      <c r="I48" s="70" t="s">
        <v>17</v>
      </c>
      <c r="J48" s="70">
        <v>5047500</v>
      </c>
      <c r="K48" s="70" t="s">
        <v>18</v>
      </c>
      <c r="L48" s="70">
        <v>40.380000000000003</v>
      </c>
      <c r="M48" s="70" t="s">
        <v>108</v>
      </c>
      <c r="N48" s="70" t="s">
        <v>117</v>
      </c>
      <c r="O48" s="70" t="s">
        <v>85</v>
      </c>
      <c r="P48" s="70">
        <v>59914.202711552403</v>
      </c>
      <c r="Q48" s="70">
        <v>0</v>
      </c>
      <c r="R48" s="70">
        <v>59914.202711552403</v>
      </c>
      <c r="S48" s="56"/>
    </row>
    <row r="49" spans="1:19" ht="15" customHeight="1" x14ac:dyDescent="0.25">
      <c r="A49" s="70">
        <v>8601477</v>
      </c>
      <c r="B49" s="70" t="s">
        <v>98</v>
      </c>
      <c r="C49" s="71">
        <v>44014.397407407407</v>
      </c>
      <c r="D49" s="72">
        <v>44104</v>
      </c>
      <c r="E49" s="70" t="s">
        <v>119</v>
      </c>
      <c r="F49" s="70" t="s">
        <v>119</v>
      </c>
      <c r="G49" s="70" t="s">
        <v>82</v>
      </c>
      <c r="H49" s="70">
        <v>-180000</v>
      </c>
      <c r="I49" s="70" t="s">
        <v>22</v>
      </c>
      <c r="J49" s="70">
        <v>8211600</v>
      </c>
      <c r="K49" s="70" t="s">
        <v>18</v>
      </c>
      <c r="L49" s="70">
        <v>45.62</v>
      </c>
      <c r="M49" s="70" t="s">
        <v>108</v>
      </c>
      <c r="N49" s="70" t="s">
        <v>117</v>
      </c>
      <c r="O49" s="70" t="s">
        <v>85</v>
      </c>
      <c r="P49" s="70">
        <v>-255380.269694758</v>
      </c>
      <c r="Q49" s="70">
        <v>0</v>
      </c>
      <c r="R49" s="70">
        <v>-255380.269694758</v>
      </c>
      <c r="S49" s="56"/>
    </row>
    <row r="50" spans="1:19" ht="15" customHeight="1" x14ac:dyDescent="0.25">
      <c r="A50" s="70">
        <v>8601465</v>
      </c>
      <c r="B50" s="70" t="s">
        <v>98</v>
      </c>
      <c r="C50" s="71">
        <v>44014.396041666667</v>
      </c>
      <c r="D50" s="72">
        <v>44074</v>
      </c>
      <c r="E50" s="70" t="s">
        <v>119</v>
      </c>
      <c r="F50" s="70" t="s">
        <v>119</v>
      </c>
      <c r="G50" s="70" t="s">
        <v>82</v>
      </c>
      <c r="H50" s="70">
        <v>-75000</v>
      </c>
      <c r="I50" s="70" t="s">
        <v>22</v>
      </c>
      <c r="J50" s="70">
        <v>3418500</v>
      </c>
      <c r="K50" s="70" t="s">
        <v>18</v>
      </c>
      <c r="L50" s="70">
        <v>45.58</v>
      </c>
      <c r="M50" s="70" t="s">
        <v>108</v>
      </c>
      <c r="N50" s="70" t="s">
        <v>117</v>
      </c>
      <c r="O50" s="70" t="s">
        <v>85</v>
      </c>
      <c r="P50" s="70">
        <v>-103894.546046123</v>
      </c>
      <c r="Q50" s="70">
        <v>0</v>
      </c>
      <c r="R50" s="70">
        <v>-103894.546046123</v>
      </c>
      <c r="S50" s="56"/>
    </row>
    <row r="51" spans="1:19" ht="15" customHeight="1" x14ac:dyDescent="0.25">
      <c r="A51" s="70">
        <v>8505926</v>
      </c>
      <c r="B51" s="70" t="s">
        <v>98</v>
      </c>
      <c r="C51" s="71">
        <v>43992.436261574076</v>
      </c>
      <c r="D51" s="72">
        <v>44145</v>
      </c>
      <c r="E51" s="70" t="s">
        <v>120</v>
      </c>
      <c r="F51" s="70" t="s">
        <v>120</v>
      </c>
      <c r="G51" s="70" t="s">
        <v>82</v>
      </c>
      <c r="H51" s="70">
        <v>-100000</v>
      </c>
      <c r="I51" s="70" t="s">
        <v>17</v>
      </c>
      <c r="J51" s="70">
        <v>4015000</v>
      </c>
      <c r="K51" s="70" t="s">
        <v>18</v>
      </c>
      <c r="L51" s="70">
        <v>40.15</v>
      </c>
      <c r="M51" s="70" t="s">
        <v>83</v>
      </c>
      <c r="N51" s="70" t="s">
        <v>106</v>
      </c>
      <c r="O51" s="70" t="s">
        <v>85</v>
      </c>
      <c r="P51" s="70">
        <v>19850.381870740599</v>
      </c>
      <c r="Q51" s="70">
        <v>0</v>
      </c>
      <c r="R51" s="70">
        <v>19850.381870740599</v>
      </c>
      <c r="S51" s="56"/>
    </row>
    <row r="52" spans="1:19" ht="15" customHeight="1" x14ac:dyDescent="0.25">
      <c r="A52" s="70">
        <v>8505326</v>
      </c>
      <c r="B52" s="70" t="s">
        <v>98</v>
      </c>
      <c r="C52" s="71">
        <v>43992.396307870367</v>
      </c>
      <c r="D52" s="72">
        <v>44145</v>
      </c>
      <c r="E52" s="70" t="s">
        <v>120</v>
      </c>
      <c r="F52" s="70" t="s">
        <v>120</v>
      </c>
      <c r="G52" s="70" t="s">
        <v>82</v>
      </c>
      <c r="H52" s="70">
        <v>-150000</v>
      </c>
      <c r="I52" s="70" t="s">
        <v>17</v>
      </c>
      <c r="J52" s="70">
        <v>6022500</v>
      </c>
      <c r="K52" s="70" t="s">
        <v>18</v>
      </c>
      <c r="L52" s="70">
        <v>40.15</v>
      </c>
      <c r="M52" s="70" t="s">
        <v>83</v>
      </c>
      <c r="N52" s="70" t="s">
        <v>106</v>
      </c>
      <c r="O52" s="70" t="s">
        <v>85</v>
      </c>
      <c r="P52" s="70">
        <v>29775.572806111501</v>
      </c>
      <c r="Q52" s="70">
        <v>0</v>
      </c>
      <c r="R52" s="70">
        <v>29775.572806111501</v>
      </c>
      <c r="S52" s="56"/>
    </row>
    <row r="53" spans="1:19" ht="15" customHeight="1" x14ac:dyDescent="0.25">
      <c r="A53" s="70">
        <v>8497262</v>
      </c>
      <c r="B53" s="70" t="s">
        <v>98</v>
      </c>
      <c r="C53" s="71">
        <v>43990.478217592594</v>
      </c>
      <c r="D53" s="72">
        <v>44095</v>
      </c>
      <c r="E53" s="70" t="s">
        <v>105</v>
      </c>
      <c r="F53" s="70" t="s">
        <v>105</v>
      </c>
      <c r="G53" s="70" t="s">
        <v>82</v>
      </c>
      <c r="H53" s="70">
        <v>-80000</v>
      </c>
      <c r="I53" s="70" t="s">
        <v>17</v>
      </c>
      <c r="J53" s="70">
        <v>3216000</v>
      </c>
      <c r="K53" s="70" t="s">
        <v>18</v>
      </c>
      <c r="L53" s="70">
        <v>40.200000000000003</v>
      </c>
      <c r="M53" s="70" t="s">
        <v>83</v>
      </c>
      <c r="N53" s="70" t="s">
        <v>106</v>
      </c>
      <c r="O53" s="70" t="s">
        <v>85</v>
      </c>
      <c r="P53" s="70">
        <v>24892.978447438702</v>
      </c>
      <c r="Q53" s="70">
        <v>0</v>
      </c>
      <c r="R53" s="70">
        <v>24892.978447438702</v>
      </c>
      <c r="S53" s="56"/>
    </row>
    <row r="54" spans="1:19" ht="15" customHeight="1" x14ac:dyDescent="0.25">
      <c r="A54" s="70">
        <v>8487532</v>
      </c>
      <c r="B54" s="70" t="s">
        <v>98</v>
      </c>
      <c r="C54" s="71">
        <v>43986.533113425925</v>
      </c>
      <c r="D54" s="72">
        <v>44145</v>
      </c>
      <c r="E54" s="70" t="s">
        <v>116</v>
      </c>
      <c r="F54" s="70" t="s">
        <v>116</v>
      </c>
      <c r="G54" s="70" t="s">
        <v>86</v>
      </c>
      <c r="H54" s="70">
        <v>400000</v>
      </c>
      <c r="I54" s="70" t="s">
        <v>17</v>
      </c>
      <c r="J54" s="70">
        <v>-15880000</v>
      </c>
      <c r="K54" s="70" t="s">
        <v>18</v>
      </c>
      <c r="L54" s="70">
        <v>39.700000000000003</v>
      </c>
      <c r="M54" s="70" t="s">
        <v>83</v>
      </c>
      <c r="N54" s="70" t="s">
        <v>115</v>
      </c>
      <c r="O54" s="70" t="s">
        <v>85</v>
      </c>
      <c r="P54" s="70">
        <v>100035.967946889</v>
      </c>
      <c r="Q54" s="70">
        <v>0</v>
      </c>
      <c r="R54" s="70">
        <v>100035.967946889</v>
      </c>
      <c r="S54" s="56"/>
    </row>
    <row r="55" spans="1:19" ht="15" customHeight="1" x14ac:dyDescent="0.25">
      <c r="A55" s="70">
        <v>8487498</v>
      </c>
      <c r="B55" s="70" t="s">
        <v>98</v>
      </c>
      <c r="C55" s="71">
        <v>43986.530960648146</v>
      </c>
      <c r="D55" s="72">
        <v>44116</v>
      </c>
      <c r="E55" s="70" t="s">
        <v>116</v>
      </c>
      <c r="F55" s="70" t="s">
        <v>116</v>
      </c>
      <c r="G55" s="70" t="s">
        <v>86</v>
      </c>
      <c r="H55" s="70">
        <v>400000</v>
      </c>
      <c r="I55" s="70" t="s">
        <v>17</v>
      </c>
      <c r="J55" s="70">
        <v>-15880000</v>
      </c>
      <c r="K55" s="70" t="s">
        <v>18</v>
      </c>
      <c r="L55" s="70">
        <v>39.700000000000003</v>
      </c>
      <c r="M55" s="70" t="s">
        <v>83</v>
      </c>
      <c r="N55" s="70" t="s">
        <v>115</v>
      </c>
      <c r="O55" s="70" t="s">
        <v>85</v>
      </c>
      <c r="P55" s="70">
        <v>85820.2695454676</v>
      </c>
      <c r="Q55" s="70">
        <v>0</v>
      </c>
      <c r="R55" s="70">
        <v>85820.2695454676</v>
      </c>
      <c r="S55" s="56"/>
    </row>
    <row r="56" spans="1:19" ht="15" customHeight="1" x14ac:dyDescent="0.25">
      <c r="A56" s="70">
        <v>8487474</v>
      </c>
      <c r="B56" s="70" t="s">
        <v>98</v>
      </c>
      <c r="C56" s="71">
        <v>43986.528680555559</v>
      </c>
      <c r="D56" s="72">
        <v>44084</v>
      </c>
      <c r="E56" s="70" t="s">
        <v>116</v>
      </c>
      <c r="F56" s="70" t="s">
        <v>116</v>
      </c>
      <c r="G56" s="70" t="s">
        <v>86</v>
      </c>
      <c r="H56" s="70">
        <v>400000</v>
      </c>
      <c r="I56" s="70" t="s">
        <v>17</v>
      </c>
      <c r="J56" s="70">
        <v>-15900000</v>
      </c>
      <c r="K56" s="70" t="s">
        <v>18</v>
      </c>
      <c r="L56" s="70">
        <v>39.75</v>
      </c>
      <c r="M56" s="70" t="s">
        <v>83</v>
      </c>
      <c r="N56" s="70" t="s">
        <v>115</v>
      </c>
      <c r="O56" s="70" t="s">
        <v>85</v>
      </c>
      <c r="P56" s="70">
        <v>49590.901774676502</v>
      </c>
      <c r="Q56" s="70">
        <v>0</v>
      </c>
      <c r="R56" s="70">
        <v>49590.901774676502</v>
      </c>
      <c r="S56" s="56"/>
    </row>
    <row r="57" spans="1:19" ht="15" customHeight="1" x14ac:dyDescent="0.25">
      <c r="A57" s="70">
        <v>8181377</v>
      </c>
      <c r="B57" s="70" t="s">
        <v>98</v>
      </c>
      <c r="C57" s="71">
        <v>43909.387592592589</v>
      </c>
      <c r="D57" s="72">
        <v>44119</v>
      </c>
      <c r="E57" s="70" t="s">
        <v>88</v>
      </c>
      <c r="F57" s="70" t="s">
        <v>88</v>
      </c>
      <c r="G57" s="70" t="s">
        <v>86</v>
      </c>
      <c r="H57" s="70">
        <v>500000</v>
      </c>
      <c r="I57" s="70" t="s">
        <v>22</v>
      </c>
      <c r="J57" s="70">
        <v>-21625000</v>
      </c>
      <c r="K57" s="70" t="s">
        <v>18</v>
      </c>
      <c r="L57" s="70">
        <v>43.25</v>
      </c>
      <c r="M57" s="70" t="s">
        <v>83</v>
      </c>
      <c r="N57" s="70" t="s">
        <v>84</v>
      </c>
      <c r="O57" s="70" t="s">
        <v>85</v>
      </c>
      <c r="P57" s="70">
        <v>1909578.70552474</v>
      </c>
      <c r="Q57" s="70">
        <v>0</v>
      </c>
      <c r="R57" s="70">
        <v>1909578.70552474</v>
      </c>
      <c r="S57" s="56"/>
    </row>
    <row r="58" spans="1:19" ht="15" customHeight="1" x14ac:dyDescent="0.25">
      <c r="A58" s="70">
        <v>8180830</v>
      </c>
      <c r="B58" s="70" t="s">
        <v>98</v>
      </c>
      <c r="C58" s="71">
        <v>43909.347071759257</v>
      </c>
      <c r="D58" s="72">
        <v>44119</v>
      </c>
      <c r="E58" s="70" t="s">
        <v>88</v>
      </c>
      <c r="F58" s="70" t="s">
        <v>88</v>
      </c>
      <c r="G58" s="70" t="s">
        <v>86</v>
      </c>
      <c r="H58" s="70">
        <v>500000</v>
      </c>
      <c r="I58" s="70" t="s">
        <v>17</v>
      </c>
      <c r="J58" s="70">
        <v>-19825000</v>
      </c>
      <c r="K58" s="70" t="s">
        <v>18</v>
      </c>
      <c r="L58" s="70">
        <v>39.65</v>
      </c>
      <c r="M58" s="70" t="s">
        <v>83</v>
      </c>
      <c r="N58" s="70" t="s">
        <v>84</v>
      </c>
      <c r="O58" s="70" t="s">
        <v>85</v>
      </c>
      <c r="P58" s="70">
        <v>134071.93047206101</v>
      </c>
      <c r="Q58" s="70">
        <v>0</v>
      </c>
      <c r="R58" s="70">
        <v>134071.93047206101</v>
      </c>
      <c r="S58" s="56"/>
    </row>
    <row r="59" spans="1:19" ht="15" customHeight="1" x14ac:dyDescent="0.25">
      <c r="A59" s="70">
        <v>8159760</v>
      </c>
      <c r="B59" s="70" t="s">
        <v>98</v>
      </c>
      <c r="C59" s="71">
        <v>43906.277129629627</v>
      </c>
      <c r="D59" s="72">
        <v>44119</v>
      </c>
      <c r="E59" s="70" t="s">
        <v>88</v>
      </c>
      <c r="F59" s="70" t="s">
        <v>88</v>
      </c>
      <c r="G59" s="70" t="s">
        <v>86</v>
      </c>
      <c r="H59" s="70">
        <v>1000000</v>
      </c>
      <c r="I59" s="70" t="s">
        <v>22</v>
      </c>
      <c r="J59" s="70">
        <v>-43400000</v>
      </c>
      <c r="K59" s="70" t="s">
        <v>18</v>
      </c>
      <c r="L59" s="70">
        <v>43.4</v>
      </c>
      <c r="M59" s="70" t="s">
        <v>83</v>
      </c>
      <c r="N59" s="70" t="s">
        <v>84</v>
      </c>
      <c r="O59" s="70" t="s">
        <v>85</v>
      </c>
      <c r="P59" s="70">
        <v>3669473.9334960799</v>
      </c>
      <c r="Q59" s="70">
        <v>0</v>
      </c>
      <c r="R59" s="70">
        <v>3669473.9334960799</v>
      </c>
      <c r="S59" s="56"/>
    </row>
    <row r="60" spans="1:19" ht="15" customHeight="1" x14ac:dyDescent="0.25">
      <c r="A60" s="70">
        <v>8152459</v>
      </c>
      <c r="B60" s="70" t="s">
        <v>98</v>
      </c>
      <c r="C60" s="71">
        <v>43903.294675925928</v>
      </c>
      <c r="D60" s="72">
        <v>44174</v>
      </c>
      <c r="E60" s="70" t="s">
        <v>102</v>
      </c>
      <c r="F60" s="70" t="s">
        <v>102</v>
      </c>
      <c r="G60" s="70" t="s">
        <v>86</v>
      </c>
      <c r="H60" s="70">
        <v>500000</v>
      </c>
      <c r="I60" s="70" t="s">
        <v>17</v>
      </c>
      <c r="J60" s="70">
        <v>-19000000</v>
      </c>
      <c r="K60" s="70" t="s">
        <v>18</v>
      </c>
      <c r="L60" s="70">
        <v>38</v>
      </c>
      <c r="M60" s="70" t="s">
        <v>83</v>
      </c>
      <c r="N60" s="70" t="s">
        <v>89</v>
      </c>
      <c r="O60" s="70" t="s">
        <v>85</v>
      </c>
      <c r="P60" s="70">
        <v>990443.90682525898</v>
      </c>
      <c r="Q60" s="70">
        <v>0</v>
      </c>
      <c r="R60" s="70">
        <v>990443.90682525898</v>
      </c>
      <c r="S60" s="56"/>
    </row>
    <row r="61" spans="1:19" ht="15" customHeight="1" x14ac:dyDescent="0.25">
      <c r="A61" s="70">
        <v>8152444</v>
      </c>
      <c r="B61" s="70" t="s">
        <v>98</v>
      </c>
      <c r="C61" s="71">
        <v>43903.293310185189</v>
      </c>
      <c r="D61" s="72">
        <v>44168</v>
      </c>
      <c r="E61" s="70" t="s">
        <v>102</v>
      </c>
      <c r="F61" s="70" t="s">
        <v>102</v>
      </c>
      <c r="G61" s="70" t="s">
        <v>86</v>
      </c>
      <c r="H61" s="70">
        <v>500000</v>
      </c>
      <c r="I61" s="70" t="s">
        <v>17</v>
      </c>
      <c r="J61" s="70">
        <v>-19000000</v>
      </c>
      <c r="K61" s="70" t="s">
        <v>18</v>
      </c>
      <c r="L61" s="70">
        <v>38</v>
      </c>
      <c r="M61" s="70" t="s">
        <v>83</v>
      </c>
      <c r="N61" s="70" t="s">
        <v>89</v>
      </c>
      <c r="O61" s="70" t="s">
        <v>85</v>
      </c>
      <c r="P61" s="70">
        <v>986336.04579358199</v>
      </c>
      <c r="Q61" s="70">
        <v>0</v>
      </c>
      <c r="R61" s="70">
        <v>986336.04579358199</v>
      </c>
      <c r="S61" s="56"/>
    </row>
    <row r="62" spans="1:19" ht="15" customHeight="1" x14ac:dyDescent="0.25">
      <c r="A62" s="70">
        <v>8133646</v>
      </c>
      <c r="B62" s="70" t="s">
        <v>98</v>
      </c>
      <c r="C62" s="71">
        <v>43901.256122685183</v>
      </c>
      <c r="D62" s="72">
        <v>44092</v>
      </c>
      <c r="E62" s="70" t="s">
        <v>88</v>
      </c>
      <c r="F62" s="70" t="s">
        <v>88</v>
      </c>
      <c r="G62" s="70" t="s">
        <v>86</v>
      </c>
      <c r="H62" s="70">
        <v>1000000</v>
      </c>
      <c r="I62" s="70" t="s">
        <v>17</v>
      </c>
      <c r="J62" s="70">
        <v>-37700000</v>
      </c>
      <c r="K62" s="70" t="s">
        <v>18</v>
      </c>
      <c r="L62" s="70">
        <v>37.700000000000202</v>
      </c>
      <c r="M62" s="70" t="s">
        <v>83</v>
      </c>
      <c r="N62" s="70" t="s">
        <v>84</v>
      </c>
      <c r="O62" s="70" t="s">
        <v>85</v>
      </c>
      <c r="P62" s="70">
        <v>2182250.1909133298</v>
      </c>
      <c r="Q62" s="70">
        <v>0</v>
      </c>
      <c r="R62" s="70">
        <v>2182250.1909133298</v>
      </c>
      <c r="S62" s="56"/>
    </row>
    <row r="63" spans="1:19" ht="15" customHeight="1" x14ac:dyDescent="0.25">
      <c r="A63" s="70">
        <v>8133631</v>
      </c>
      <c r="B63" s="70" t="s">
        <v>98</v>
      </c>
      <c r="C63" s="71">
        <v>43901.254363425927</v>
      </c>
      <c r="D63" s="72">
        <v>44119</v>
      </c>
      <c r="E63" s="70" t="s">
        <v>88</v>
      </c>
      <c r="F63" s="70" t="s">
        <v>88</v>
      </c>
      <c r="G63" s="70" t="s">
        <v>86</v>
      </c>
      <c r="H63" s="70">
        <v>1000000</v>
      </c>
      <c r="I63" s="70" t="s">
        <v>22</v>
      </c>
      <c r="J63" s="70">
        <v>-43200000</v>
      </c>
      <c r="K63" s="70" t="s">
        <v>18</v>
      </c>
      <c r="L63" s="70">
        <v>43.2</v>
      </c>
      <c r="M63" s="70" t="s">
        <v>83</v>
      </c>
      <c r="N63" s="70" t="s">
        <v>84</v>
      </c>
      <c r="O63" s="70" t="s">
        <v>85</v>
      </c>
      <c r="P63" s="70">
        <v>3869051.9035672802</v>
      </c>
      <c r="Q63" s="70">
        <v>0</v>
      </c>
      <c r="R63" s="70">
        <v>3869051.9035672802</v>
      </c>
      <c r="S63" s="56"/>
    </row>
    <row r="64" spans="1:19" ht="15" customHeight="1" x14ac:dyDescent="0.25">
      <c r="A64" s="70">
        <v>8131218</v>
      </c>
      <c r="B64" s="70" t="s">
        <v>98</v>
      </c>
      <c r="C64" s="71">
        <v>43900.510185185187</v>
      </c>
      <c r="D64" s="72">
        <v>44104</v>
      </c>
      <c r="E64" s="70" t="s">
        <v>88</v>
      </c>
      <c r="F64" s="70" t="s">
        <v>88</v>
      </c>
      <c r="G64" s="70" t="s">
        <v>86</v>
      </c>
      <c r="H64" s="70">
        <v>1000000</v>
      </c>
      <c r="I64" s="70" t="s">
        <v>22</v>
      </c>
      <c r="J64" s="70">
        <v>-43100000</v>
      </c>
      <c r="K64" s="70" t="s">
        <v>18</v>
      </c>
      <c r="L64" s="70">
        <v>43.1</v>
      </c>
      <c r="M64" s="70" t="s">
        <v>83</v>
      </c>
      <c r="N64" s="70" t="s">
        <v>84</v>
      </c>
      <c r="O64" s="70" t="s">
        <v>85</v>
      </c>
      <c r="P64" s="70">
        <v>3934924.8681038599</v>
      </c>
      <c r="Q64" s="70">
        <v>0</v>
      </c>
      <c r="R64" s="70">
        <v>3934924.8681038599</v>
      </c>
      <c r="S64" s="56"/>
    </row>
    <row r="65" spans="1:19" x14ac:dyDescent="0.25">
      <c r="A65" s="70">
        <v>8119905</v>
      </c>
      <c r="B65" s="70" t="s">
        <v>98</v>
      </c>
      <c r="C65" s="71">
        <v>43899.241701388892</v>
      </c>
      <c r="D65" s="72">
        <v>44180</v>
      </c>
      <c r="E65" s="70" t="s">
        <v>110</v>
      </c>
      <c r="F65" s="70" t="s">
        <v>110</v>
      </c>
      <c r="G65" s="70" t="s">
        <v>82</v>
      </c>
      <c r="H65" s="70">
        <v>-1000000</v>
      </c>
      <c r="I65" s="70" t="s">
        <v>20</v>
      </c>
      <c r="J65" s="70">
        <v>2240000</v>
      </c>
      <c r="K65" s="70" t="s">
        <v>18</v>
      </c>
      <c r="L65" s="70">
        <v>2.2400000000000002</v>
      </c>
      <c r="M65" s="70" t="s">
        <v>83</v>
      </c>
      <c r="N65" s="70" t="s">
        <v>84</v>
      </c>
      <c r="O65" s="70" t="s">
        <v>85</v>
      </c>
      <c r="P65" s="70">
        <v>-54100.8511912506</v>
      </c>
      <c r="Q65" s="70">
        <v>0</v>
      </c>
      <c r="R65" s="70">
        <v>-54100.8511912506</v>
      </c>
      <c r="S65" s="56"/>
    </row>
    <row r="66" spans="1:19" x14ac:dyDescent="0.25">
      <c r="A66" s="70">
        <v>8114992</v>
      </c>
      <c r="B66" s="70" t="s">
        <v>98</v>
      </c>
      <c r="C66" s="71">
        <v>43896.243263888886</v>
      </c>
      <c r="D66" s="72">
        <v>44104</v>
      </c>
      <c r="E66" s="70" t="s">
        <v>88</v>
      </c>
      <c r="F66" s="70" t="s">
        <v>88</v>
      </c>
      <c r="G66" s="70" t="s">
        <v>86</v>
      </c>
      <c r="H66" s="70">
        <v>1000000</v>
      </c>
      <c r="I66" s="70" t="s">
        <v>22</v>
      </c>
      <c r="J66" s="70">
        <v>-42150000</v>
      </c>
      <c r="K66" s="70" t="s">
        <v>18</v>
      </c>
      <c r="L66" s="70">
        <v>42.15</v>
      </c>
      <c r="M66" s="70" t="s">
        <v>83</v>
      </c>
      <c r="N66" s="70" t="s">
        <v>84</v>
      </c>
      <c r="O66" s="70" t="s">
        <v>85</v>
      </c>
      <c r="P66" s="70">
        <v>4883471.8174771797</v>
      </c>
      <c r="Q66" s="70">
        <v>0</v>
      </c>
      <c r="R66" s="70">
        <v>4883471.8174771797</v>
      </c>
      <c r="S66" s="56"/>
    </row>
    <row r="67" spans="1:19" x14ac:dyDescent="0.25">
      <c r="A67" s="70">
        <v>8080331</v>
      </c>
      <c r="B67" s="70" t="s">
        <v>98</v>
      </c>
      <c r="C67" s="71">
        <v>43892.367349537039</v>
      </c>
      <c r="D67" s="72">
        <v>44104</v>
      </c>
      <c r="E67" s="70" t="s">
        <v>96</v>
      </c>
      <c r="F67" s="70"/>
      <c r="G67" s="70" t="s">
        <v>86</v>
      </c>
      <c r="H67" s="70">
        <v>735000</v>
      </c>
      <c r="I67" s="70" t="s">
        <v>22</v>
      </c>
      <c r="J67" s="70">
        <v>-30847950</v>
      </c>
      <c r="K67" s="70" t="s">
        <v>18</v>
      </c>
      <c r="L67" s="70">
        <v>41.97</v>
      </c>
      <c r="M67" s="70" t="s">
        <v>90</v>
      </c>
      <c r="N67" s="70" t="s">
        <v>91</v>
      </c>
      <c r="O67" s="70" t="s">
        <v>85</v>
      </c>
      <c r="P67" s="70">
        <v>3721449.4294268698</v>
      </c>
      <c r="Q67" s="70">
        <v>0</v>
      </c>
      <c r="R67" s="70">
        <v>3721449.4294268698</v>
      </c>
      <c r="S67" s="56"/>
    </row>
    <row r="68" spans="1:19" ht="15" customHeight="1" x14ac:dyDescent="0.25">
      <c r="A68" s="70">
        <v>8079226</v>
      </c>
      <c r="B68" s="70" t="s">
        <v>98</v>
      </c>
      <c r="C68" s="71">
        <v>43892.292951388888</v>
      </c>
      <c r="D68" s="72">
        <v>44111</v>
      </c>
      <c r="E68" s="70" t="s">
        <v>103</v>
      </c>
      <c r="F68" s="70" t="s">
        <v>103</v>
      </c>
      <c r="G68" s="70" t="s">
        <v>82</v>
      </c>
      <c r="H68" s="70">
        <v>-500000</v>
      </c>
      <c r="I68" s="70" t="s">
        <v>17</v>
      </c>
      <c r="J68" s="70">
        <v>18775000</v>
      </c>
      <c r="K68" s="70" t="s">
        <v>18</v>
      </c>
      <c r="L68" s="70">
        <v>37.549999999999997</v>
      </c>
      <c r="M68" s="70" t="s">
        <v>83</v>
      </c>
      <c r="N68" s="70" t="s">
        <v>107</v>
      </c>
      <c r="O68" s="70" t="s">
        <v>85</v>
      </c>
      <c r="P68" s="70">
        <v>-1177247.65346443</v>
      </c>
      <c r="Q68" s="70">
        <v>0</v>
      </c>
      <c r="R68" s="70">
        <v>-1177247.65346443</v>
      </c>
      <c r="S68" s="56"/>
    </row>
    <row r="69" spans="1:19" ht="15" customHeight="1" x14ac:dyDescent="0.25">
      <c r="A69" s="70">
        <v>8079058</v>
      </c>
      <c r="B69" s="70" t="s">
        <v>98</v>
      </c>
      <c r="C69" s="71">
        <v>43892.271886574075</v>
      </c>
      <c r="D69" s="72">
        <v>44111</v>
      </c>
      <c r="E69" s="70" t="s">
        <v>103</v>
      </c>
      <c r="F69" s="70" t="s">
        <v>103</v>
      </c>
      <c r="G69" s="70" t="s">
        <v>82</v>
      </c>
      <c r="H69" s="70">
        <v>-500000</v>
      </c>
      <c r="I69" s="70" t="s">
        <v>17</v>
      </c>
      <c r="J69" s="70">
        <v>18775000</v>
      </c>
      <c r="K69" s="70" t="s">
        <v>18</v>
      </c>
      <c r="L69" s="70">
        <v>37.549999999999997</v>
      </c>
      <c r="M69" s="70" t="s">
        <v>83</v>
      </c>
      <c r="N69" s="70" t="s">
        <v>107</v>
      </c>
      <c r="O69" s="70" t="s">
        <v>85</v>
      </c>
      <c r="P69" s="70">
        <v>-1177247.65346443</v>
      </c>
      <c r="Q69" s="70">
        <v>0</v>
      </c>
      <c r="R69" s="70">
        <v>-1177247.65346443</v>
      </c>
      <c r="S69" s="56"/>
    </row>
    <row r="70" spans="1:19" ht="15" customHeight="1" x14ac:dyDescent="0.25">
      <c r="A70" s="70">
        <v>8072214</v>
      </c>
      <c r="B70" s="70" t="s">
        <v>98</v>
      </c>
      <c r="C70" s="71">
        <v>43889.337048611109</v>
      </c>
      <c r="D70" s="72">
        <v>44110</v>
      </c>
      <c r="E70" s="70" t="s">
        <v>103</v>
      </c>
      <c r="F70" s="70" t="s">
        <v>103</v>
      </c>
      <c r="G70" s="70" t="s">
        <v>82</v>
      </c>
      <c r="H70" s="70">
        <v>-500000</v>
      </c>
      <c r="I70" s="70" t="s">
        <v>17</v>
      </c>
      <c r="J70" s="70">
        <v>18805000</v>
      </c>
      <c r="K70" s="70" t="s">
        <v>18</v>
      </c>
      <c r="L70" s="70">
        <v>37.61</v>
      </c>
      <c r="M70" s="70" t="s">
        <v>83</v>
      </c>
      <c r="N70" s="70" t="s">
        <v>84</v>
      </c>
      <c r="O70" s="70" t="s">
        <v>85</v>
      </c>
      <c r="P70" s="70">
        <v>-1146721.6672360101</v>
      </c>
      <c r="Q70" s="70">
        <v>0</v>
      </c>
      <c r="R70" s="70">
        <v>-1146721.6672360101</v>
      </c>
      <c r="S70" s="56"/>
    </row>
    <row r="71" spans="1:19" ht="15" customHeight="1" x14ac:dyDescent="0.25">
      <c r="A71" s="70">
        <v>8062038</v>
      </c>
      <c r="B71" s="70" t="s">
        <v>98</v>
      </c>
      <c r="C71" s="71">
        <v>43888.401909722219</v>
      </c>
      <c r="D71" s="72">
        <v>44104</v>
      </c>
      <c r="E71" s="70" t="s">
        <v>103</v>
      </c>
      <c r="F71" s="70" t="s">
        <v>103</v>
      </c>
      <c r="G71" s="70" t="s">
        <v>82</v>
      </c>
      <c r="H71" s="70">
        <v>-500000</v>
      </c>
      <c r="I71" s="70" t="s">
        <v>17</v>
      </c>
      <c r="J71" s="70">
        <v>18865000</v>
      </c>
      <c r="K71" s="70" t="s">
        <v>18</v>
      </c>
      <c r="L71" s="70">
        <v>37.729999999999997</v>
      </c>
      <c r="M71" s="70" t="s">
        <v>83</v>
      </c>
      <c r="N71" s="70" t="s">
        <v>84</v>
      </c>
      <c r="O71" s="70" t="s">
        <v>85</v>
      </c>
      <c r="P71" s="70">
        <v>-1083316.56591132</v>
      </c>
      <c r="Q71" s="70">
        <v>0</v>
      </c>
      <c r="R71" s="70">
        <v>-1083316.56591132</v>
      </c>
      <c r="S71" s="56"/>
    </row>
    <row r="72" spans="1:19" ht="15" customHeight="1" x14ac:dyDescent="0.25">
      <c r="A72" s="70">
        <v>8061545</v>
      </c>
      <c r="B72" s="70" t="s">
        <v>98</v>
      </c>
      <c r="C72" s="71">
        <v>43888.367835648147</v>
      </c>
      <c r="D72" s="72">
        <v>44109</v>
      </c>
      <c r="E72" s="70" t="s">
        <v>103</v>
      </c>
      <c r="F72" s="70" t="s">
        <v>103</v>
      </c>
      <c r="G72" s="70" t="s">
        <v>82</v>
      </c>
      <c r="H72" s="70">
        <v>-500000</v>
      </c>
      <c r="I72" s="70" t="s">
        <v>17</v>
      </c>
      <c r="J72" s="70">
        <v>18865000</v>
      </c>
      <c r="K72" s="70" t="s">
        <v>18</v>
      </c>
      <c r="L72" s="70">
        <v>37.729999999999997</v>
      </c>
      <c r="M72" s="70" t="s">
        <v>83</v>
      </c>
      <c r="N72" s="70" t="s">
        <v>84</v>
      </c>
      <c r="O72" s="70" t="s">
        <v>85</v>
      </c>
      <c r="P72" s="70">
        <v>-1086244.30322725</v>
      </c>
      <c r="Q72" s="70">
        <v>0</v>
      </c>
      <c r="R72" s="70">
        <v>-1086244.30322725</v>
      </c>
      <c r="S72" s="56"/>
    </row>
    <row r="73" spans="1:19" ht="15" customHeight="1" x14ac:dyDescent="0.25">
      <c r="A73" s="70">
        <v>8055715</v>
      </c>
      <c r="B73" s="70" t="s">
        <v>98</v>
      </c>
      <c r="C73" s="71">
        <v>43887.465729166666</v>
      </c>
      <c r="D73" s="72">
        <v>44109</v>
      </c>
      <c r="E73" s="70" t="s">
        <v>103</v>
      </c>
      <c r="F73" s="70" t="s">
        <v>103</v>
      </c>
      <c r="G73" s="70" t="s">
        <v>82</v>
      </c>
      <c r="H73" s="70">
        <v>-500000</v>
      </c>
      <c r="I73" s="70" t="s">
        <v>17</v>
      </c>
      <c r="J73" s="70">
        <v>18885000</v>
      </c>
      <c r="K73" s="70" t="s">
        <v>18</v>
      </c>
      <c r="L73" s="70">
        <v>37.770000000000003</v>
      </c>
      <c r="M73" s="70" t="s">
        <v>83</v>
      </c>
      <c r="N73" s="70" t="s">
        <v>106</v>
      </c>
      <c r="O73" s="70" t="s">
        <v>85</v>
      </c>
      <c r="P73" s="70">
        <v>-1066278.75605541</v>
      </c>
      <c r="Q73" s="70">
        <v>0</v>
      </c>
      <c r="R73" s="70">
        <v>-1066278.75605541</v>
      </c>
      <c r="S73" s="56"/>
    </row>
    <row r="74" spans="1:19" ht="15" customHeight="1" x14ac:dyDescent="0.25">
      <c r="A74" s="70">
        <v>8053975</v>
      </c>
      <c r="B74" s="70" t="s">
        <v>98</v>
      </c>
      <c r="C74" s="71">
        <v>43887.359074074076</v>
      </c>
      <c r="D74" s="72">
        <v>44109</v>
      </c>
      <c r="E74" s="70" t="s">
        <v>103</v>
      </c>
      <c r="F74" s="70" t="s">
        <v>103</v>
      </c>
      <c r="G74" s="70" t="s">
        <v>82</v>
      </c>
      <c r="H74" s="70">
        <v>-1000000</v>
      </c>
      <c r="I74" s="70" t="s">
        <v>17</v>
      </c>
      <c r="J74" s="70">
        <v>37775000</v>
      </c>
      <c r="K74" s="70" t="s">
        <v>18</v>
      </c>
      <c r="L74" s="70">
        <v>37.774999999999999</v>
      </c>
      <c r="M74" s="70" t="s">
        <v>83</v>
      </c>
      <c r="N74" s="70" t="s">
        <v>84</v>
      </c>
      <c r="O74" s="70" t="s">
        <v>85</v>
      </c>
      <c r="P74" s="70">
        <v>-2127566.1253178599</v>
      </c>
      <c r="Q74" s="70">
        <v>0</v>
      </c>
      <c r="R74" s="70">
        <v>-2127566.1253178599</v>
      </c>
      <c r="S74" s="56"/>
    </row>
    <row r="75" spans="1:19" ht="15" customHeight="1" x14ac:dyDescent="0.25">
      <c r="A75" s="70">
        <v>8034484</v>
      </c>
      <c r="B75" s="70" t="s">
        <v>98</v>
      </c>
      <c r="C75" s="71">
        <v>43881.407164351855</v>
      </c>
      <c r="D75" s="72">
        <v>44104</v>
      </c>
      <c r="E75" s="70" t="s">
        <v>96</v>
      </c>
      <c r="F75" s="70"/>
      <c r="G75" s="70" t="s">
        <v>86</v>
      </c>
      <c r="H75" s="70">
        <v>730000</v>
      </c>
      <c r="I75" s="70" t="s">
        <v>22</v>
      </c>
      <c r="J75" s="70">
        <v>-30192800</v>
      </c>
      <c r="K75" s="70" t="s">
        <v>18</v>
      </c>
      <c r="L75" s="70">
        <v>41.36</v>
      </c>
      <c r="M75" s="70" t="s">
        <v>90</v>
      </c>
      <c r="N75" s="70" t="s">
        <v>91</v>
      </c>
      <c r="O75" s="70" t="s">
        <v>85</v>
      </c>
      <c r="P75" s="70">
        <v>4140752.3485515998</v>
      </c>
      <c r="Q75" s="70">
        <v>0</v>
      </c>
      <c r="R75" s="70">
        <v>4140752.3485515998</v>
      </c>
      <c r="S75" s="56"/>
    </row>
    <row r="76" spans="1:19" ht="15" customHeight="1" x14ac:dyDescent="0.25">
      <c r="A76" s="70">
        <v>8034234</v>
      </c>
      <c r="B76" s="70" t="s">
        <v>98</v>
      </c>
      <c r="C76" s="71">
        <v>43881.390196759261</v>
      </c>
      <c r="D76" s="72">
        <v>44071</v>
      </c>
      <c r="E76" s="70" t="s">
        <v>88</v>
      </c>
      <c r="F76" s="70" t="s">
        <v>88</v>
      </c>
      <c r="G76" s="70" t="s">
        <v>86</v>
      </c>
      <c r="H76" s="70">
        <v>1000000</v>
      </c>
      <c r="I76" s="70" t="s">
        <v>22</v>
      </c>
      <c r="J76" s="70">
        <v>-41250000</v>
      </c>
      <c r="K76" s="70" t="s">
        <v>18</v>
      </c>
      <c r="L76" s="70">
        <v>41.25</v>
      </c>
      <c r="M76" s="70" t="s">
        <v>83</v>
      </c>
      <c r="N76" s="70" t="s">
        <v>89</v>
      </c>
      <c r="O76" s="70" t="s">
        <v>85</v>
      </c>
      <c r="P76" s="70">
        <v>5706291.0667302497</v>
      </c>
      <c r="Q76" s="70">
        <v>0</v>
      </c>
      <c r="R76" s="70">
        <v>5706291.0667302497</v>
      </c>
      <c r="S76" s="56"/>
    </row>
    <row r="77" spans="1:19" ht="15" customHeight="1" x14ac:dyDescent="0.25">
      <c r="A77" s="70">
        <v>8026628</v>
      </c>
      <c r="B77" s="70" t="s">
        <v>98</v>
      </c>
      <c r="C77" s="71">
        <v>43880.289224537039</v>
      </c>
      <c r="D77" s="72">
        <v>44119</v>
      </c>
      <c r="E77" s="70" t="s">
        <v>102</v>
      </c>
      <c r="F77" s="70" t="s">
        <v>102</v>
      </c>
      <c r="G77" s="70" t="s">
        <v>86</v>
      </c>
      <c r="H77" s="70">
        <v>500000</v>
      </c>
      <c r="I77" s="70" t="s">
        <v>17</v>
      </c>
      <c r="J77" s="70">
        <v>-18725000</v>
      </c>
      <c r="K77" s="70" t="s">
        <v>18</v>
      </c>
      <c r="L77" s="70">
        <v>37.450000000000003</v>
      </c>
      <c r="M77" s="70" t="s">
        <v>83</v>
      </c>
      <c r="N77" s="70" t="s">
        <v>89</v>
      </c>
      <c r="O77" s="70" t="s">
        <v>85</v>
      </c>
      <c r="P77" s="70">
        <v>1231750.76586365</v>
      </c>
      <c r="Q77" s="70">
        <v>0</v>
      </c>
      <c r="R77" s="70">
        <v>1231750.76586365</v>
      </c>
      <c r="S77" s="56"/>
    </row>
    <row r="78" spans="1:19" ht="15" customHeight="1" x14ac:dyDescent="0.25">
      <c r="A78" s="70">
        <v>8026610</v>
      </c>
      <c r="B78" s="70" t="s">
        <v>98</v>
      </c>
      <c r="C78" s="71">
        <v>43880.287210648145</v>
      </c>
      <c r="D78" s="72">
        <v>44141</v>
      </c>
      <c r="E78" s="70" t="s">
        <v>102</v>
      </c>
      <c r="F78" s="70" t="s">
        <v>102</v>
      </c>
      <c r="G78" s="70" t="s">
        <v>86</v>
      </c>
      <c r="H78" s="70">
        <v>500000</v>
      </c>
      <c r="I78" s="70" t="s">
        <v>17</v>
      </c>
      <c r="J78" s="70">
        <v>-18750000</v>
      </c>
      <c r="K78" s="70" t="s">
        <v>18</v>
      </c>
      <c r="L78" s="70">
        <v>37.5</v>
      </c>
      <c r="M78" s="70" t="s">
        <v>83</v>
      </c>
      <c r="N78" s="70" t="s">
        <v>89</v>
      </c>
      <c r="O78" s="70" t="s">
        <v>85</v>
      </c>
      <c r="P78" s="70">
        <v>1219338.5218082301</v>
      </c>
      <c r="Q78" s="70">
        <v>0</v>
      </c>
      <c r="R78" s="70">
        <v>1219338.5218082301</v>
      </c>
      <c r="S78" s="56"/>
    </row>
    <row r="79" spans="1:19" ht="15" customHeight="1" x14ac:dyDescent="0.25">
      <c r="A79" s="70">
        <v>8021873</v>
      </c>
      <c r="B79" s="70" t="s">
        <v>98</v>
      </c>
      <c r="C79" s="71">
        <v>43879.276493055557</v>
      </c>
      <c r="D79" s="72">
        <v>44110</v>
      </c>
      <c r="E79" s="70" t="s">
        <v>102</v>
      </c>
      <c r="F79" s="70" t="s">
        <v>102</v>
      </c>
      <c r="G79" s="70" t="s">
        <v>86</v>
      </c>
      <c r="H79" s="70">
        <v>500000</v>
      </c>
      <c r="I79" s="70" t="s">
        <v>17</v>
      </c>
      <c r="J79" s="70">
        <v>-18675000</v>
      </c>
      <c r="K79" s="70" t="s">
        <v>18</v>
      </c>
      <c r="L79" s="70">
        <v>37.35</v>
      </c>
      <c r="M79" s="70" t="s">
        <v>83</v>
      </c>
      <c r="N79" s="70" t="s">
        <v>106</v>
      </c>
      <c r="O79" s="70" t="s">
        <v>85</v>
      </c>
      <c r="P79" s="70">
        <v>1276492.6962224001</v>
      </c>
      <c r="Q79" s="70">
        <v>0</v>
      </c>
      <c r="R79" s="70">
        <v>1276492.6962224001</v>
      </c>
      <c r="S79" s="56"/>
    </row>
    <row r="80" spans="1:19" ht="15" customHeight="1" x14ac:dyDescent="0.25">
      <c r="A80" s="70">
        <v>8018285</v>
      </c>
      <c r="B80" s="70" t="s">
        <v>98</v>
      </c>
      <c r="C80" s="71">
        <v>43878.412615740737</v>
      </c>
      <c r="D80" s="72">
        <v>44090</v>
      </c>
      <c r="E80" s="70" t="s">
        <v>102</v>
      </c>
      <c r="F80" s="70" t="s">
        <v>102</v>
      </c>
      <c r="G80" s="70" t="s">
        <v>86</v>
      </c>
      <c r="H80" s="70">
        <v>500000</v>
      </c>
      <c r="I80" s="70" t="s">
        <v>17</v>
      </c>
      <c r="J80" s="70">
        <v>-18650000</v>
      </c>
      <c r="K80" s="70" t="s">
        <v>18</v>
      </c>
      <c r="L80" s="70">
        <v>37.299999999999997</v>
      </c>
      <c r="M80" s="70" t="s">
        <v>83</v>
      </c>
      <c r="N80" s="70" t="s">
        <v>106</v>
      </c>
      <c r="O80" s="70" t="s">
        <v>85</v>
      </c>
      <c r="P80" s="70">
        <v>1289708.7961832101</v>
      </c>
      <c r="Q80" s="70">
        <v>0</v>
      </c>
      <c r="R80" s="70">
        <v>1289708.7961832101</v>
      </c>
      <c r="S80" s="56"/>
    </row>
    <row r="81" spans="1:19" ht="15" customHeight="1" x14ac:dyDescent="0.25">
      <c r="A81" s="70">
        <v>7987528</v>
      </c>
      <c r="B81" s="70" t="s">
        <v>98</v>
      </c>
      <c r="C81" s="71">
        <v>43871.468981481485</v>
      </c>
      <c r="D81" s="72">
        <v>44211</v>
      </c>
      <c r="E81" s="70" t="s">
        <v>99</v>
      </c>
      <c r="F81" s="70"/>
      <c r="G81" s="70" t="s">
        <v>82</v>
      </c>
      <c r="H81" s="70">
        <v>-895094.88</v>
      </c>
      <c r="I81" s="70" t="s">
        <v>22</v>
      </c>
      <c r="J81" s="70">
        <v>1000000</v>
      </c>
      <c r="K81" s="70" t="s">
        <v>17</v>
      </c>
      <c r="L81" s="70">
        <v>1.1172</v>
      </c>
      <c r="M81" s="70" t="s">
        <v>100</v>
      </c>
      <c r="N81" s="70" t="s">
        <v>87</v>
      </c>
      <c r="O81" s="70" t="s">
        <v>85</v>
      </c>
      <c r="P81" s="70">
        <v>-2301117.80759267</v>
      </c>
      <c r="Q81" s="70">
        <v>0</v>
      </c>
      <c r="R81" s="70">
        <v>-2301117.80759267</v>
      </c>
      <c r="S81" s="56"/>
    </row>
    <row r="82" spans="1:19" ht="15" customHeight="1" x14ac:dyDescent="0.25">
      <c r="A82" s="70">
        <v>7987200</v>
      </c>
      <c r="B82" s="70" t="s">
        <v>98</v>
      </c>
      <c r="C82" s="71">
        <v>43871.443761574075</v>
      </c>
      <c r="D82" s="72">
        <v>44211</v>
      </c>
      <c r="E82" s="70" t="s">
        <v>96</v>
      </c>
      <c r="F82" s="70"/>
      <c r="G82" s="70" t="s">
        <v>86</v>
      </c>
      <c r="H82" s="70">
        <v>895288.01</v>
      </c>
      <c r="I82" s="70" t="s">
        <v>22</v>
      </c>
      <c r="J82" s="70">
        <v>-1000000</v>
      </c>
      <c r="K82" s="70" t="s">
        <v>17</v>
      </c>
      <c r="L82" s="70">
        <v>1.116959</v>
      </c>
      <c r="M82" s="70" t="s">
        <v>90</v>
      </c>
      <c r="N82" s="70" t="s">
        <v>87</v>
      </c>
      <c r="O82" s="70" t="s">
        <v>85</v>
      </c>
      <c r="P82" s="70">
        <v>2310202.8776354901</v>
      </c>
      <c r="Q82" s="70">
        <v>0</v>
      </c>
      <c r="R82" s="70">
        <v>2310202.8776354901</v>
      </c>
      <c r="S82" s="56"/>
    </row>
    <row r="83" spans="1:19" ht="15" customHeight="1" x14ac:dyDescent="0.25">
      <c r="A83" s="70">
        <v>7979734</v>
      </c>
      <c r="B83" s="70" t="s">
        <v>98</v>
      </c>
      <c r="C83" s="71">
        <v>43868.260601851849</v>
      </c>
      <c r="D83" s="72">
        <v>44077</v>
      </c>
      <c r="E83" s="70" t="s">
        <v>102</v>
      </c>
      <c r="F83" s="70" t="s">
        <v>102</v>
      </c>
      <c r="G83" s="70" t="s">
        <v>86</v>
      </c>
      <c r="H83" s="70">
        <v>500000</v>
      </c>
      <c r="I83" s="70" t="s">
        <v>17</v>
      </c>
      <c r="J83" s="70">
        <v>-18425000</v>
      </c>
      <c r="K83" s="70" t="s">
        <v>18</v>
      </c>
      <c r="L83" s="70">
        <v>36.85</v>
      </c>
      <c r="M83" s="70" t="s">
        <v>83</v>
      </c>
      <c r="N83" s="70" t="s">
        <v>84</v>
      </c>
      <c r="O83" s="70" t="s">
        <v>85</v>
      </c>
      <c r="P83" s="70">
        <v>1506601.7363742201</v>
      </c>
      <c r="Q83" s="70">
        <v>0</v>
      </c>
      <c r="R83" s="70">
        <v>1506601.7363742201</v>
      </c>
      <c r="S83" s="56"/>
    </row>
    <row r="84" spans="1:19" ht="15" customHeight="1" x14ac:dyDescent="0.25">
      <c r="A84" s="70">
        <v>7979729</v>
      </c>
      <c r="B84" s="70" t="s">
        <v>98</v>
      </c>
      <c r="C84" s="71">
        <v>43868.259918981479</v>
      </c>
      <c r="D84" s="72">
        <v>44090</v>
      </c>
      <c r="E84" s="70" t="s">
        <v>102</v>
      </c>
      <c r="F84" s="70" t="s">
        <v>102</v>
      </c>
      <c r="G84" s="70" t="s">
        <v>86</v>
      </c>
      <c r="H84" s="70">
        <v>500000</v>
      </c>
      <c r="I84" s="70" t="s">
        <v>17</v>
      </c>
      <c r="J84" s="70">
        <v>-18425000</v>
      </c>
      <c r="K84" s="70" t="s">
        <v>18</v>
      </c>
      <c r="L84" s="70">
        <v>36.85</v>
      </c>
      <c r="M84" s="70" t="s">
        <v>83</v>
      </c>
      <c r="N84" s="70" t="s">
        <v>84</v>
      </c>
      <c r="O84" s="70" t="s">
        <v>85</v>
      </c>
      <c r="P84" s="70">
        <v>1514486.2094833299</v>
      </c>
      <c r="Q84" s="70">
        <v>0</v>
      </c>
      <c r="R84" s="70">
        <v>1514486.2094833299</v>
      </c>
      <c r="S84" s="56"/>
    </row>
    <row r="85" spans="1:19" ht="15" customHeight="1" x14ac:dyDescent="0.25">
      <c r="A85" s="70">
        <v>7925613</v>
      </c>
      <c r="B85" s="70" t="s">
        <v>98</v>
      </c>
      <c r="C85" s="71">
        <v>43854.228761574072</v>
      </c>
      <c r="D85" s="72">
        <v>44077</v>
      </c>
      <c r="E85" s="70" t="s">
        <v>102</v>
      </c>
      <c r="F85" s="70" t="s">
        <v>102</v>
      </c>
      <c r="G85" s="70" t="s">
        <v>86</v>
      </c>
      <c r="H85" s="70">
        <v>1000000</v>
      </c>
      <c r="I85" s="70" t="s">
        <v>17</v>
      </c>
      <c r="J85" s="70">
        <v>-36650000</v>
      </c>
      <c r="K85" s="70" t="s">
        <v>18</v>
      </c>
      <c r="L85" s="70">
        <v>36.65</v>
      </c>
      <c r="M85" s="70" t="s">
        <v>83</v>
      </c>
      <c r="N85" s="70" t="s">
        <v>84</v>
      </c>
      <c r="O85" s="70" t="s">
        <v>85</v>
      </c>
      <c r="P85" s="70">
        <v>3213105.0956626898</v>
      </c>
      <c r="Q85" s="70">
        <v>0</v>
      </c>
      <c r="R85" s="70">
        <v>3213105.0956626898</v>
      </c>
      <c r="S85" s="56"/>
    </row>
    <row r="86" spans="1:19" ht="15" customHeight="1" x14ac:dyDescent="0.25">
      <c r="A86" s="70">
        <v>7906309</v>
      </c>
      <c r="B86" s="70" t="s">
        <v>98</v>
      </c>
      <c r="C86" s="71">
        <v>43850.450949074075</v>
      </c>
      <c r="D86" s="72">
        <v>44174</v>
      </c>
      <c r="E86" s="70" t="s">
        <v>104</v>
      </c>
      <c r="F86" s="70" t="s">
        <v>104</v>
      </c>
      <c r="G86" s="70" t="s">
        <v>82</v>
      </c>
      <c r="H86" s="70">
        <v>-400000</v>
      </c>
      <c r="I86" s="70" t="s">
        <v>17</v>
      </c>
      <c r="J86" s="70">
        <v>14732000</v>
      </c>
      <c r="K86" s="70" t="s">
        <v>18</v>
      </c>
      <c r="L86" s="70">
        <v>36.83</v>
      </c>
      <c r="M86" s="70" t="s">
        <v>83</v>
      </c>
      <c r="N86" s="70" t="s">
        <v>84</v>
      </c>
      <c r="O86" s="70" t="s">
        <v>85</v>
      </c>
      <c r="P86" s="70">
        <v>-1258325.2282099</v>
      </c>
      <c r="Q86" s="70">
        <v>0</v>
      </c>
      <c r="R86" s="70">
        <v>-1258325.2282099</v>
      </c>
      <c r="S86" s="56"/>
    </row>
    <row r="87" spans="1:19" ht="15" customHeight="1" x14ac:dyDescent="0.25">
      <c r="A87" s="70">
        <v>7906297</v>
      </c>
      <c r="B87" s="70" t="s">
        <v>98</v>
      </c>
      <c r="C87" s="71">
        <v>43850.45</v>
      </c>
      <c r="D87" s="72">
        <v>44144</v>
      </c>
      <c r="E87" s="70" t="s">
        <v>104</v>
      </c>
      <c r="F87" s="70" t="s">
        <v>104</v>
      </c>
      <c r="G87" s="70" t="s">
        <v>82</v>
      </c>
      <c r="H87" s="70">
        <v>-400000</v>
      </c>
      <c r="I87" s="70" t="s">
        <v>17</v>
      </c>
      <c r="J87" s="70">
        <v>14720000</v>
      </c>
      <c r="K87" s="70" t="s">
        <v>18</v>
      </c>
      <c r="L87" s="70">
        <v>36.799999999999997</v>
      </c>
      <c r="M87" s="70" t="s">
        <v>83</v>
      </c>
      <c r="N87" s="70" t="s">
        <v>84</v>
      </c>
      <c r="O87" s="70" t="s">
        <v>85</v>
      </c>
      <c r="P87" s="70">
        <v>-1255968.3053464601</v>
      </c>
      <c r="Q87" s="70">
        <v>0</v>
      </c>
      <c r="R87" s="70">
        <v>-1255968.3053464601</v>
      </c>
      <c r="S87" s="56"/>
    </row>
    <row r="88" spans="1:19" ht="15" customHeight="1" x14ac:dyDescent="0.25">
      <c r="A88" s="70">
        <v>7906285</v>
      </c>
      <c r="B88" s="70" t="s">
        <v>98</v>
      </c>
      <c r="C88" s="71">
        <v>43850.449120370373</v>
      </c>
      <c r="D88" s="72">
        <v>44113</v>
      </c>
      <c r="E88" s="70" t="s">
        <v>104</v>
      </c>
      <c r="F88" s="70" t="s">
        <v>104</v>
      </c>
      <c r="G88" s="70" t="s">
        <v>82</v>
      </c>
      <c r="H88" s="70">
        <v>-400000</v>
      </c>
      <c r="I88" s="70" t="s">
        <v>17</v>
      </c>
      <c r="J88" s="70">
        <v>14720000</v>
      </c>
      <c r="K88" s="70" t="s">
        <v>18</v>
      </c>
      <c r="L88" s="70">
        <v>36.799999999999997</v>
      </c>
      <c r="M88" s="70" t="s">
        <v>83</v>
      </c>
      <c r="N88" s="70" t="s">
        <v>84</v>
      </c>
      <c r="O88" s="70" t="s">
        <v>85</v>
      </c>
      <c r="P88" s="70">
        <v>-1242159.37131314</v>
      </c>
      <c r="Q88" s="70">
        <v>0</v>
      </c>
      <c r="R88" s="70">
        <v>-1242159.37131314</v>
      </c>
      <c r="S88" s="56"/>
    </row>
    <row r="89" spans="1:19" ht="15" customHeight="1" x14ac:dyDescent="0.25">
      <c r="A89" s="70">
        <v>7906264</v>
      </c>
      <c r="B89" s="70" t="s">
        <v>98</v>
      </c>
      <c r="C89" s="71">
        <v>43850.44798611111</v>
      </c>
      <c r="D89" s="72">
        <v>44088</v>
      </c>
      <c r="E89" s="70" t="s">
        <v>104</v>
      </c>
      <c r="F89" s="70" t="s">
        <v>104</v>
      </c>
      <c r="G89" s="70" t="s">
        <v>82</v>
      </c>
      <c r="H89" s="70">
        <v>-700000</v>
      </c>
      <c r="I89" s="70" t="s">
        <v>17</v>
      </c>
      <c r="J89" s="70">
        <v>25760000</v>
      </c>
      <c r="K89" s="70" t="s">
        <v>18</v>
      </c>
      <c r="L89" s="70">
        <v>36.799999999999997</v>
      </c>
      <c r="M89" s="70" t="s">
        <v>83</v>
      </c>
      <c r="N89" s="70" t="s">
        <v>84</v>
      </c>
      <c r="O89" s="70" t="s">
        <v>85</v>
      </c>
      <c r="P89" s="70">
        <v>-2153579.5350515</v>
      </c>
      <c r="Q89" s="70">
        <v>0</v>
      </c>
      <c r="R89" s="70">
        <v>-2153579.5350515</v>
      </c>
      <c r="S89" s="56"/>
    </row>
    <row r="90" spans="1:19" ht="15" customHeight="1" x14ac:dyDescent="0.25">
      <c r="A90" s="70">
        <v>5510100</v>
      </c>
      <c r="B90" s="70" t="s">
        <v>98</v>
      </c>
      <c r="C90" s="71">
        <v>43266.228206018517</v>
      </c>
      <c r="D90" s="72">
        <v>44357</v>
      </c>
      <c r="E90" s="70" t="s">
        <v>111</v>
      </c>
      <c r="F90" s="70" t="s">
        <v>111</v>
      </c>
      <c r="G90" s="70" t="s">
        <v>82</v>
      </c>
      <c r="H90" s="70">
        <v>-22246.94</v>
      </c>
      <c r="I90" s="70" t="s">
        <v>22</v>
      </c>
      <c r="J90" s="70">
        <v>1000000</v>
      </c>
      <c r="K90" s="70" t="s">
        <v>18</v>
      </c>
      <c r="L90" s="70">
        <v>44.95</v>
      </c>
      <c r="M90" s="70" t="s">
        <v>83</v>
      </c>
      <c r="N90" s="70" t="s">
        <v>112</v>
      </c>
      <c r="O90" s="70" t="s">
        <v>85</v>
      </c>
      <c r="P90" s="70">
        <v>-62155.362726299798</v>
      </c>
      <c r="Q90" s="70">
        <v>0</v>
      </c>
      <c r="R90" s="70">
        <v>-62155.362726299798</v>
      </c>
      <c r="S90" s="56"/>
    </row>
    <row r="91" spans="1:19" ht="15" customHeight="1" x14ac:dyDescent="0.25">
      <c r="A91" s="70">
        <v>5507458</v>
      </c>
      <c r="B91" s="70" t="s">
        <v>98</v>
      </c>
      <c r="C91" s="71">
        <v>43265.447291666664</v>
      </c>
      <c r="D91" s="72">
        <v>45089</v>
      </c>
      <c r="E91" s="70" t="s">
        <v>111</v>
      </c>
      <c r="F91" s="70" t="s">
        <v>111</v>
      </c>
      <c r="G91" s="70" t="s">
        <v>82</v>
      </c>
      <c r="H91" s="70">
        <v>-22246.94</v>
      </c>
      <c r="I91" s="70" t="s">
        <v>22</v>
      </c>
      <c r="J91" s="70">
        <v>1000000</v>
      </c>
      <c r="K91" s="70" t="s">
        <v>18</v>
      </c>
      <c r="L91" s="70">
        <v>44.95</v>
      </c>
      <c r="M91" s="70" t="s">
        <v>83</v>
      </c>
      <c r="N91" s="70" t="s">
        <v>112</v>
      </c>
      <c r="O91" s="70" t="s">
        <v>85</v>
      </c>
      <c r="P91" s="70">
        <v>-133392.93583966701</v>
      </c>
      <c r="Q91" s="70">
        <v>0</v>
      </c>
      <c r="R91" s="70">
        <v>-133392.93583966701</v>
      </c>
      <c r="S91" s="56"/>
    </row>
    <row r="92" spans="1:19" ht="15" customHeight="1" x14ac:dyDescent="0.25">
      <c r="A92" s="70">
        <v>5507425</v>
      </c>
      <c r="B92" s="70" t="s">
        <v>98</v>
      </c>
      <c r="C92" s="71">
        <v>43265.445219907408</v>
      </c>
      <c r="D92" s="72">
        <v>45056</v>
      </c>
      <c r="E92" s="70" t="s">
        <v>111</v>
      </c>
      <c r="F92" s="70" t="s">
        <v>111</v>
      </c>
      <c r="G92" s="70" t="s">
        <v>82</v>
      </c>
      <c r="H92" s="70">
        <v>-22246.94</v>
      </c>
      <c r="I92" s="70" t="s">
        <v>22</v>
      </c>
      <c r="J92" s="70">
        <v>1000000</v>
      </c>
      <c r="K92" s="70" t="s">
        <v>18</v>
      </c>
      <c r="L92" s="70">
        <v>44.95</v>
      </c>
      <c r="M92" s="70" t="s">
        <v>83</v>
      </c>
      <c r="N92" s="70" t="s">
        <v>112</v>
      </c>
      <c r="O92" s="70" t="s">
        <v>85</v>
      </c>
      <c r="P92" s="70">
        <v>-129750.49153114</v>
      </c>
      <c r="Q92" s="70">
        <v>0</v>
      </c>
      <c r="R92" s="70">
        <v>-129750.49153114</v>
      </c>
      <c r="S92" s="56"/>
    </row>
    <row r="93" spans="1:19" ht="15" customHeight="1" x14ac:dyDescent="0.25">
      <c r="A93" s="70">
        <v>5507416</v>
      </c>
      <c r="B93" s="70" t="s">
        <v>98</v>
      </c>
      <c r="C93" s="71">
        <v>43265.444571759261</v>
      </c>
      <c r="D93" s="72">
        <v>45027</v>
      </c>
      <c r="E93" s="70" t="s">
        <v>111</v>
      </c>
      <c r="F93" s="70" t="s">
        <v>111</v>
      </c>
      <c r="G93" s="70" t="s">
        <v>82</v>
      </c>
      <c r="H93" s="70">
        <v>-22246.94</v>
      </c>
      <c r="I93" s="70" t="s">
        <v>22</v>
      </c>
      <c r="J93" s="70">
        <v>1000000</v>
      </c>
      <c r="K93" s="70" t="s">
        <v>18</v>
      </c>
      <c r="L93" s="70">
        <v>44.95</v>
      </c>
      <c r="M93" s="70" t="s">
        <v>83</v>
      </c>
      <c r="N93" s="70" t="s">
        <v>112</v>
      </c>
      <c r="O93" s="70" t="s">
        <v>85</v>
      </c>
      <c r="P93" s="70">
        <v>-126586.41669222699</v>
      </c>
      <c r="Q93" s="70">
        <v>0</v>
      </c>
      <c r="R93" s="70">
        <v>-126586.41669222699</v>
      </c>
      <c r="S93" s="56"/>
    </row>
    <row r="94" spans="1:19" ht="15" customHeight="1" x14ac:dyDescent="0.25">
      <c r="A94" s="70">
        <v>5507410</v>
      </c>
      <c r="B94" s="70" t="s">
        <v>98</v>
      </c>
      <c r="C94" s="71">
        <v>43265.443773148145</v>
      </c>
      <c r="D94" s="72">
        <v>44995</v>
      </c>
      <c r="E94" s="70" t="s">
        <v>111</v>
      </c>
      <c r="F94" s="70" t="s">
        <v>111</v>
      </c>
      <c r="G94" s="70" t="s">
        <v>82</v>
      </c>
      <c r="H94" s="70">
        <v>-22246.94</v>
      </c>
      <c r="I94" s="70" t="s">
        <v>22</v>
      </c>
      <c r="J94" s="70">
        <v>1000000</v>
      </c>
      <c r="K94" s="70" t="s">
        <v>18</v>
      </c>
      <c r="L94" s="70">
        <v>44.95</v>
      </c>
      <c r="M94" s="70" t="s">
        <v>83</v>
      </c>
      <c r="N94" s="70" t="s">
        <v>112</v>
      </c>
      <c r="O94" s="70" t="s">
        <v>85</v>
      </c>
      <c r="P94" s="70">
        <v>-123135.223221106</v>
      </c>
      <c r="Q94" s="70">
        <v>0</v>
      </c>
      <c r="R94" s="70">
        <v>-123135.223221106</v>
      </c>
      <c r="S94" s="56"/>
    </row>
    <row r="95" spans="1:19" ht="15" customHeight="1" x14ac:dyDescent="0.25">
      <c r="A95" s="70">
        <v>5507404</v>
      </c>
      <c r="B95" s="70" t="s">
        <v>98</v>
      </c>
      <c r="C95" s="71">
        <v>43265.443194444444</v>
      </c>
      <c r="D95" s="72">
        <v>44967</v>
      </c>
      <c r="E95" s="70" t="s">
        <v>111</v>
      </c>
      <c r="F95" s="70" t="s">
        <v>111</v>
      </c>
      <c r="G95" s="70" t="s">
        <v>82</v>
      </c>
      <c r="H95" s="70">
        <v>-22246.94</v>
      </c>
      <c r="I95" s="70" t="s">
        <v>22</v>
      </c>
      <c r="J95" s="70">
        <v>1000000</v>
      </c>
      <c r="K95" s="70" t="s">
        <v>18</v>
      </c>
      <c r="L95" s="70">
        <v>44.95</v>
      </c>
      <c r="M95" s="70" t="s">
        <v>83</v>
      </c>
      <c r="N95" s="70" t="s">
        <v>112</v>
      </c>
      <c r="O95" s="70" t="s">
        <v>85</v>
      </c>
      <c r="P95" s="70">
        <v>-120150.219737495</v>
      </c>
      <c r="Q95" s="70">
        <v>0</v>
      </c>
      <c r="R95" s="70">
        <v>-120150.219737495</v>
      </c>
      <c r="S95" s="56"/>
    </row>
    <row r="96" spans="1:19" ht="15" customHeight="1" x14ac:dyDescent="0.25">
      <c r="A96" s="70">
        <v>5507396</v>
      </c>
      <c r="B96" s="70" t="s">
        <v>98</v>
      </c>
      <c r="C96" s="71">
        <v>43265.442083333335</v>
      </c>
      <c r="D96" s="72">
        <v>44936</v>
      </c>
      <c r="E96" s="70" t="s">
        <v>111</v>
      </c>
      <c r="F96" s="70" t="s">
        <v>111</v>
      </c>
      <c r="G96" s="70" t="s">
        <v>82</v>
      </c>
      <c r="H96" s="70">
        <v>-22246.94</v>
      </c>
      <c r="I96" s="70" t="s">
        <v>22</v>
      </c>
      <c r="J96" s="70">
        <v>1000000</v>
      </c>
      <c r="K96" s="70" t="s">
        <v>18</v>
      </c>
      <c r="L96" s="70">
        <v>44.95</v>
      </c>
      <c r="M96" s="70" t="s">
        <v>83</v>
      </c>
      <c r="N96" s="70" t="s">
        <v>112</v>
      </c>
      <c r="O96" s="70" t="s">
        <v>85</v>
      </c>
      <c r="P96" s="70">
        <v>-116883.53491669901</v>
      </c>
      <c r="Q96" s="70">
        <v>0</v>
      </c>
      <c r="R96" s="70">
        <v>-116883.53491669901</v>
      </c>
      <c r="S96" s="56"/>
    </row>
    <row r="97" spans="1:19" ht="15" customHeight="1" x14ac:dyDescent="0.25">
      <c r="A97" s="70">
        <v>5507392</v>
      </c>
      <c r="B97" s="70" t="s">
        <v>98</v>
      </c>
      <c r="C97" s="71">
        <v>43265.440995370373</v>
      </c>
      <c r="D97" s="72">
        <v>44907</v>
      </c>
      <c r="E97" s="70" t="s">
        <v>111</v>
      </c>
      <c r="F97" s="70" t="s">
        <v>111</v>
      </c>
      <c r="G97" s="70" t="s">
        <v>82</v>
      </c>
      <c r="H97" s="70">
        <v>-22246.94</v>
      </c>
      <c r="I97" s="70" t="s">
        <v>22</v>
      </c>
      <c r="J97" s="70">
        <v>1000000</v>
      </c>
      <c r="K97" s="70" t="s">
        <v>18</v>
      </c>
      <c r="L97" s="70">
        <v>44.95</v>
      </c>
      <c r="M97" s="70" t="s">
        <v>83</v>
      </c>
      <c r="N97" s="70" t="s">
        <v>112</v>
      </c>
      <c r="O97" s="70" t="s">
        <v>85</v>
      </c>
      <c r="P97" s="70">
        <v>-113864.17655377901</v>
      </c>
      <c r="Q97" s="70">
        <v>0</v>
      </c>
      <c r="R97" s="70">
        <v>-113864.17655377901</v>
      </c>
      <c r="S97" s="56"/>
    </row>
    <row r="98" spans="1:19" ht="15" customHeight="1" x14ac:dyDescent="0.25">
      <c r="A98" s="70">
        <v>5507348</v>
      </c>
      <c r="B98" s="70" t="s">
        <v>98</v>
      </c>
      <c r="C98" s="71">
        <v>43265.43582175926</v>
      </c>
      <c r="D98" s="72">
        <v>44875</v>
      </c>
      <c r="E98" s="70" t="s">
        <v>111</v>
      </c>
      <c r="F98" s="70" t="s">
        <v>111</v>
      </c>
      <c r="G98" s="70" t="s">
        <v>82</v>
      </c>
      <c r="H98" s="70">
        <v>-22246.94</v>
      </c>
      <c r="I98" s="70" t="s">
        <v>22</v>
      </c>
      <c r="J98" s="70">
        <v>1000000</v>
      </c>
      <c r="K98" s="70" t="s">
        <v>18</v>
      </c>
      <c r="L98" s="70">
        <v>44.95</v>
      </c>
      <c r="M98" s="70" t="s">
        <v>83</v>
      </c>
      <c r="N98" s="70" t="s">
        <v>112</v>
      </c>
      <c r="O98" s="70" t="s">
        <v>85</v>
      </c>
      <c r="P98" s="70">
        <v>-110573.889896444</v>
      </c>
      <c r="Q98" s="70">
        <v>0</v>
      </c>
      <c r="R98" s="70">
        <v>-110573.889896444</v>
      </c>
      <c r="S98" s="56"/>
    </row>
    <row r="99" spans="1:19" ht="15" customHeight="1" x14ac:dyDescent="0.25">
      <c r="A99" s="70">
        <v>5507327</v>
      </c>
      <c r="B99" s="70" t="s">
        <v>98</v>
      </c>
      <c r="C99" s="71">
        <v>43265.434629629628</v>
      </c>
      <c r="D99" s="72">
        <v>44845</v>
      </c>
      <c r="E99" s="70" t="s">
        <v>111</v>
      </c>
      <c r="F99" s="70" t="s">
        <v>111</v>
      </c>
      <c r="G99" s="70" t="s">
        <v>82</v>
      </c>
      <c r="H99" s="70">
        <v>-22246.94</v>
      </c>
      <c r="I99" s="70" t="s">
        <v>22</v>
      </c>
      <c r="J99" s="70">
        <v>1000000</v>
      </c>
      <c r="K99" s="70" t="s">
        <v>18</v>
      </c>
      <c r="L99" s="70">
        <v>44.95</v>
      </c>
      <c r="M99" s="70" t="s">
        <v>83</v>
      </c>
      <c r="N99" s="70" t="s">
        <v>112</v>
      </c>
      <c r="O99" s="70" t="s">
        <v>85</v>
      </c>
      <c r="P99" s="70">
        <v>-107529.131503806</v>
      </c>
      <c r="Q99" s="70">
        <v>0</v>
      </c>
      <c r="R99" s="70">
        <v>-107529.131503806</v>
      </c>
      <c r="S99" s="56"/>
    </row>
    <row r="100" spans="1:19" ht="15" customHeight="1" x14ac:dyDescent="0.25">
      <c r="A100" s="70">
        <v>5507316</v>
      </c>
      <c r="B100" s="70" t="s">
        <v>98</v>
      </c>
      <c r="C100" s="71">
        <v>43265.43340277778</v>
      </c>
      <c r="D100" s="72">
        <v>44816</v>
      </c>
      <c r="E100" s="70" t="s">
        <v>111</v>
      </c>
      <c r="F100" s="70" t="s">
        <v>111</v>
      </c>
      <c r="G100" s="70" t="s">
        <v>82</v>
      </c>
      <c r="H100" s="70">
        <v>-22246.94</v>
      </c>
      <c r="I100" s="70" t="s">
        <v>22</v>
      </c>
      <c r="J100" s="70">
        <v>1000000</v>
      </c>
      <c r="K100" s="70" t="s">
        <v>18</v>
      </c>
      <c r="L100" s="70">
        <v>44.95</v>
      </c>
      <c r="M100" s="70" t="s">
        <v>83</v>
      </c>
      <c r="N100" s="70" t="s">
        <v>112</v>
      </c>
      <c r="O100" s="70" t="s">
        <v>85</v>
      </c>
      <c r="P100" s="70">
        <v>-104622.985387817</v>
      </c>
      <c r="Q100" s="70">
        <v>0</v>
      </c>
      <c r="R100" s="70">
        <v>-104622.985387817</v>
      </c>
      <c r="S100" s="56"/>
    </row>
    <row r="101" spans="1:19" ht="15" customHeight="1" x14ac:dyDescent="0.25">
      <c r="A101" s="70">
        <v>5507289</v>
      </c>
      <c r="B101" s="70" t="s">
        <v>98</v>
      </c>
      <c r="C101" s="71">
        <v>43265.431828703702</v>
      </c>
      <c r="D101" s="72">
        <v>44784</v>
      </c>
      <c r="E101" s="70" t="s">
        <v>111</v>
      </c>
      <c r="F101" s="70" t="s">
        <v>111</v>
      </c>
      <c r="G101" s="70" t="s">
        <v>82</v>
      </c>
      <c r="H101" s="70">
        <v>-22246.94</v>
      </c>
      <c r="I101" s="70" t="s">
        <v>22</v>
      </c>
      <c r="J101" s="70">
        <v>1000000</v>
      </c>
      <c r="K101" s="70" t="s">
        <v>18</v>
      </c>
      <c r="L101" s="70">
        <v>44.95</v>
      </c>
      <c r="M101" s="70" t="s">
        <v>83</v>
      </c>
      <c r="N101" s="70" t="s">
        <v>112</v>
      </c>
      <c r="O101" s="70" t="s">
        <v>85</v>
      </c>
      <c r="P101" s="70">
        <v>-101280.673850473</v>
      </c>
      <c r="Q101" s="70">
        <v>0</v>
      </c>
      <c r="R101" s="70">
        <v>-101280.673850473</v>
      </c>
      <c r="S101" s="56"/>
    </row>
    <row r="102" spans="1:19" ht="15" customHeight="1" x14ac:dyDescent="0.25">
      <c r="A102" s="70">
        <v>5507279</v>
      </c>
      <c r="B102" s="70" t="s">
        <v>98</v>
      </c>
      <c r="C102" s="71">
        <v>43265.431030092594</v>
      </c>
      <c r="D102" s="72">
        <v>44753</v>
      </c>
      <c r="E102" s="70" t="s">
        <v>111</v>
      </c>
      <c r="F102" s="70" t="s">
        <v>111</v>
      </c>
      <c r="G102" s="70" t="s">
        <v>82</v>
      </c>
      <c r="H102" s="70">
        <v>-22246.94</v>
      </c>
      <c r="I102" s="70" t="s">
        <v>22</v>
      </c>
      <c r="J102" s="70">
        <v>1000000</v>
      </c>
      <c r="K102" s="70" t="s">
        <v>18</v>
      </c>
      <c r="L102" s="70">
        <v>44.95</v>
      </c>
      <c r="M102" s="70" t="s">
        <v>83</v>
      </c>
      <c r="N102" s="70" t="s">
        <v>112</v>
      </c>
      <c r="O102" s="70" t="s">
        <v>85</v>
      </c>
      <c r="P102" s="70">
        <v>-97888.802944810901</v>
      </c>
      <c r="Q102" s="70">
        <v>0</v>
      </c>
      <c r="R102" s="70">
        <v>-97888.802944810901</v>
      </c>
      <c r="S102" s="56"/>
    </row>
    <row r="103" spans="1:19" ht="15" customHeight="1" x14ac:dyDescent="0.25">
      <c r="A103" s="70">
        <v>5507266</v>
      </c>
      <c r="B103" s="70" t="s">
        <v>98</v>
      </c>
      <c r="C103" s="71">
        <v>43265.430196759262</v>
      </c>
      <c r="D103" s="72">
        <v>44722</v>
      </c>
      <c r="E103" s="70" t="s">
        <v>111</v>
      </c>
      <c r="F103" s="70" t="s">
        <v>111</v>
      </c>
      <c r="G103" s="70" t="s">
        <v>82</v>
      </c>
      <c r="H103" s="70">
        <v>-22246.94</v>
      </c>
      <c r="I103" s="70" t="s">
        <v>22</v>
      </c>
      <c r="J103" s="70">
        <v>1000000</v>
      </c>
      <c r="K103" s="70" t="s">
        <v>18</v>
      </c>
      <c r="L103" s="70">
        <v>44.95</v>
      </c>
      <c r="M103" s="70" t="s">
        <v>83</v>
      </c>
      <c r="N103" s="70" t="s">
        <v>112</v>
      </c>
      <c r="O103" s="70" t="s">
        <v>85</v>
      </c>
      <c r="P103" s="70">
        <v>-94574.445151914595</v>
      </c>
      <c r="Q103" s="70">
        <v>0</v>
      </c>
      <c r="R103" s="70">
        <v>-94574.445151914595</v>
      </c>
      <c r="S103" s="56"/>
    </row>
    <row r="104" spans="1:19" ht="15" customHeight="1" x14ac:dyDescent="0.25">
      <c r="A104" s="70">
        <v>5507245</v>
      </c>
      <c r="B104" s="70" t="s">
        <v>98</v>
      </c>
      <c r="C104" s="71">
        <v>43265.429097222222</v>
      </c>
      <c r="D104" s="72">
        <v>44691</v>
      </c>
      <c r="E104" s="70" t="s">
        <v>111</v>
      </c>
      <c r="F104" s="70" t="s">
        <v>111</v>
      </c>
      <c r="G104" s="70" t="s">
        <v>82</v>
      </c>
      <c r="H104" s="70">
        <v>-22246.94</v>
      </c>
      <c r="I104" s="70" t="s">
        <v>22</v>
      </c>
      <c r="J104" s="70">
        <v>1000000</v>
      </c>
      <c r="K104" s="70" t="s">
        <v>18</v>
      </c>
      <c r="L104" s="70">
        <v>44.95</v>
      </c>
      <c r="M104" s="70" t="s">
        <v>83</v>
      </c>
      <c r="N104" s="70" t="s">
        <v>112</v>
      </c>
      <c r="O104" s="70" t="s">
        <v>85</v>
      </c>
      <c r="P104" s="70">
        <v>-91338.108634605</v>
      </c>
      <c r="Q104" s="70">
        <v>0</v>
      </c>
      <c r="R104" s="70">
        <v>-91338.108634605</v>
      </c>
      <c r="S104" s="56"/>
    </row>
    <row r="105" spans="1:19" ht="15" customHeight="1" x14ac:dyDescent="0.25">
      <c r="A105" s="70">
        <v>5507229</v>
      </c>
      <c r="B105" s="70" t="s">
        <v>98</v>
      </c>
      <c r="C105" s="71">
        <v>43265.428078703706</v>
      </c>
      <c r="D105" s="72">
        <v>44662</v>
      </c>
      <c r="E105" s="70" t="s">
        <v>111</v>
      </c>
      <c r="F105" s="70" t="s">
        <v>111</v>
      </c>
      <c r="G105" s="70" t="s">
        <v>82</v>
      </c>
      <c r="H105" s="70">
        <v>-22246.94</v>
      </c>
      <c r="I105" s="70" t="s">
        <v>22</v>
      </c>
      <c r="J105" s="70">
        <v>1000000</v>
      </c>
      <c r="K105" s="70" t="s">
        <v>18</v>
      </c>
      <c r="L105" s="70">
        <v>44.95</v>
      </c>
      <c r="M105" s="70" t="s">
        <v>83</v>
      </c>
      <c r="N105" s="70" t="s">
        <v>112</v>
      </c>
      <c r="O105" s="70" t="s">
        <v>85</v>
      </c>
      <c r="P105" s="70">
        <v>-88381.558838779107</v>
      </c>
      <c r="Q105" s="70">
        <v>0</v>
      </c>
      <c r="R105" s="70">
        <v>-88381.558838779107</v>
      </c>
      <c r="S105" s="56"/>
    </row>
    <row r="106" spans="1:19" ht="15" customHeight="1" x14ac:dyDescent="0.25">
      <c r="A106" s="70">
        <v>5507207</v>
      </c>
      <c r="B106" s="70" t="s">
        <v>98</v>
      </c>
      <c r="C106" s="71">
        <v>43265.426550925928</v>
      </c>
      <c r="D106" s="72">
        <v>44630</v>
      </c>
      <c r="E106" s="70" t="s">
        <v>111</v>
      </c>
      <c r="F106" s="70" t="s">
        <v>111</v>
      </c>
      <c r="G106" s="70" t="s">
        <v>82</v>
      </c>
      <c r="H106" s="70">
        <v>-22246.94</v>
      </c>
      <c r="I106" s="70" t="s">
        <v>22</v>
      </c>
      <c r="J106" s="70">
        <v>1000000</v>
      </c>
      <c r="K106" s="70" t="s">
        <v>18</v>
      </c>
      <c r="L106" s="70">
        <v>44.95</v>
      </c>
      <c r="M106" s="70" t="s">
        <v>83</v>
      </c>
      <c r="N106" s="70" t="s">
        <v>112</v>
      </c>
      <c r="O106" s="70" t="s">
        <v>85</v>
      </c>
      <c r="P106" s="70">
        <v>-85201.4564431381</v>
      </c>
      <c r="Q106" s="70">
        <v>0</v>
      </c>
      <c r="R106" s="70">
        <v>-85201.4564431381</v>
      </c>
      <c r="S106" s="56"/>
    </row>
    <row r="107" spans="1:19" ht="15" customHeight="1" x14ac:dyDescent="0.25">
      <c r="A107" s="70">
        <v>5507183</v>
      </c>
      <c r="B107" s="70" t="s">
        <v>98</v>
      </c>
      <c r="C107" s="71">
        <v>43265.425532407404</v>
      </c>
      <c r="D107" s="72">
        <v>44602</v>
      </c>
      <c r="E107" s="70" t="s">
        <v>111</v>
      </c>
      <c r="F107" s="70" t="s">
        <v>111</v>
      </c>
      <c r="G107" s="70" t="s">
        <v>82</v>
      </c>
      <c r="H107" s="70">
        <v>-22246.94</v>
      </c>
      <c r="I107" s="70" t="s">
        <v>22</v>
      </c>
      <c r="J107" s="70">
        <v>1000000</v>
      </c>
      <c r="K107" s="70" t="s">
        <v>18</v>
      </c>
      <c r="L107" s="70">
        <v>44.95</v>
      </c>
      <c r="M107" s="70" t="s">
        <v>83</v>
      </c>
      <c r="N107" s="70" t="s">
        <v>112</v>
      </c>
      <c r="O107" s="70" t="s">
        <v>85</v>
      </c>
      <c r="P107" s="70">
        <v>-82491.173506542706</v>
      </c>
      <c r="Q107" s="70">
        <v>0</v>
      </c>
      <c r="R107" s="70">
        <v>-82491.173506542706</v>
      </c>
      <c r="S107" s="56"/>
    </row>
    <row r="108" spans="1:19" ht="15" customHeight="1" x14ac:dyDescent="0.25">
      <c r="A108" s="70">
        <v>5506958</v>
      </c>
      <c r="B108" s="70" t="s">
        <v>98</v>
      </c>
      <c r="C108" s="71">
        <v>43265.424363425926</v>
      </c>
      <c r="D108" s="72">
        <v>44571</v>
      </c>
      <c r="E108" s="70" t="s">
        <v>111</v>
      </c>
      <c r="F108" s="70" t="s">
        <v>111</v>
      </c>
      <c r="G108" s="70" t="s">
        <v>82</v>
      </c>
      <c r="H108" s="70">
        <v>-22246.94</v>
      </c>
      <c r="I108" s="70" t="s">
        <v>22</v>
      </c>
      <c r="J108" s="70">
        <v>1000000</v>
      </c>
      <c r="K108" s="70" t="s">
        <v>18</v>
      </c>
      <c r="L108" s="70">
        <v>44.95</v>
      </c>
      <c r="M108" s="70" t="s">
        <v>83</v>
      </c>
      <c r="N108" s="70" t="s">
        <v>112</v>
      </c>
      <c r="O108" s="70" t="s">
        <v>85</v>
      </c>
      <c r="P108" s="70">
        <v>-79568.326244573604</v>
      </c>
      <c r="Q108" s="70">
        <v>0</v>
      </c>
      <c r="R108" s="70">
        <v>-79568.326244573604</v>
      </c>
      <c r="S108" s="56"/>
    </row>
    <row r="109" spans="1:19" ht="15" customHeight="1" x14ac:dyDescent="0.25">
      <c r="A109" s="70">
        <v>5506939</v>
      </c>
      <c r="B109" s="70" t="s">
        <v>98</v>
      </c>
      <c r="C109" s="71">
        <v>43265.422534722224</v>
      </c>
      <c r="D109" s="72">
        <v>44540</v>
      </c>
      <c r="E109" s="70" t="s">
        <v>111</v>
      </c>
      <c r="F109" s="70" t="s">
        <v>111</v>
      </c>
      <c r="G109" s="70" t="s">
        <v>82</v>
      </c>
      <c r="H109" s="70">
        <v>-22246.94</v>
      </c>
      <c r="I109" s="70" t="s">
        <v>22</v>
      </c>
      <c r="J109" s="70">
        <v>1000000</v>
      </c>
      <c r="K109" s="70" t="s">
        <v>18</v>
      </c>
      <c r="L109" s="70">
        <v>44.95</v>
      </c>
      <c r="M109" s="70" t="s">
        <v>83</v>
      </c>
      <c r="N109" s="70" t="s">
        <v>112</v>
      </c>
      <c r="O109" s="70" t="s">
        <v>85</v>
      </c>
      <c r="P109" s="70">
        <v>-76731.560644925994</v>
      </c>
      <c r="Q109" s="70">
        <v>0</v>
      </c>
      <c r="R109" s="70">
        <v>-76731.560644925994</v>
      </c>
      <c r="S109" s="56"/>
    </row>
    <row r="110" spans="1:19" ht="15" customHeight="1" x14ac:dyDescent="0.25">
      <c r="A110" s="70">
        <v>5506923</v>
      </c>
      <c r="B110" s="70" t="s">
        <v>98</v>
      </c>
      <c r="C110" s="71">
        <v>43265.421689814815</v>
      </c>
      <c r="D110" s="72">
        <v>44510</v>
      </c>
      <c r="E110" s="70" t="s">
        <v>111</v>
      </c>
      <c r="F110" s="70" t="s">
        <v>111</v>
      </c>
      <c r="G110" s="70" t="s">
        <v>82</v>
      </c>
      <c r="H110" s="70">
        <v>-22246.94</v>
      </c>
      <c r="I110" s="70" t="s">
        <v>22</v>
      </c>
      <c r="J110" s="70">
        <v>1000000</v>
      </c>
      <c r="K110" s="70" t="s">
        <v>18</v>
      </c>
      <c r="L110" s="70">
        <v>44.95</v>
      </c>
      <c r="M110" s="70" t="s">
        <v>83</v>
      </c>
      <c r="N110" s="70" t="s">
        <v>112</v>
      </c>
      <c r="O110" s="70" t="s">
        <v>85</v>
      </c>
      <c r="P110" s="70">
        <v>-74071.883429626003</v>
      </c>
      <c r="Q110" s="70">
        <v>0</v>
      </c>
      <c r="R110" s="70">
        <v>-74071.883429626003</v>
      </c>
      <c r="S110" s="56"/>
    </row>
    <row r="111" spans="1:19" ht="15" customHeight="1" x14ac:dyDescent="0.25">
      <c r="A111" s="70">
        <v>5506897</v>
      </c>
      <c r="B111" s="70" t="s">
        <v>98</v>
      </c>
      <c r="C111" s="71">
        <v>43265.419814814813</v>
      </c>
      <c r="D111" s="72">
        <v>44481</v>
      </c>
      <c r="E111" s="70" t="s">
        <v>111</v>
      </c>
      <c r="F111" s="70" t="s">
        <v>111</v>
      </c>
      <c r="G111" s="70" t="s">
        <v>82</v>
      </c>
      <c r="H111" s="70">
        <v>-22246.94</v>
      </c>
      <c r="I111" s="70" t="s">
        <v>22</v>
      </c>
      <c r="J111" s="70">
        <v>1000000</v>
      </c>
      <c r="K111" s="70" t="s">
        <v>18</v>
      </c>
      <c r="L111" s="70">
        <v>44.95</v>
      </c>
      <c r="M111" s="70" t="s">
        <v>83</v>
      </c>
      <c r="N111" s="70" t="s">
        <v>112</v>
      </c>
      <c r="O111" s="70" t="s">
        <v>85</v>
      </c>
      <c r="P111" s="70">
        <v>-71580.195271109202</v>
      </c>
      <c r="Q111" s="70">
        <v>0</v>
      </c>
      <c r="R111" s="70">
        <v>-71580.195271109202</v>
      </c>
      <c r="S111" s="56"/>
    </row>
    <row r="112" spans="1:19" ht="15" customHeight="1" x14ac:dyDescent="0.25">
      <c r="A112" s="70">
        <v>5506854</v>
      </c>
      <c r="B112" s="70" t="s">
        <v>98</v>
      </c>
      <c r="C112" s="71">
        <v>43265.41777777778</v>
      </c>
      <c r="D112" s="72">
        <v>44449</v>
      </c>
      <c r="E112" s="70" t="s">
        <v>111</v>
      </c>
      <c r="F112" s="70" t="s">
        <v>111</v>
      </c>
      <c r="G112" s="70" t="s">
        <v>82</v>
      </c>
      <c r="H112" s="70">
        <v>-22246.94</v>
      </c>
      <c r="I112" s="70" t="s">
        <v>22</v>
      </c>
      <c r="J112" s="70">
        <v>1000000</v>
      </c>
      <c r="K112" s="70" t="s">
        <v>18</v>
      </c>
      <c r="L112" s="70">
        <v>44.95</v>
      </c>
      <c r="M112" s="70" t="s">
        <v>83</v>
      </c>
      <c r="N112" s="70" t="s">
        <v>112</v>
      </c>
      <c r="O112" s="70" t="s">
        <v>85</v>
      </c>
      <c r="P112" s="70">
        <v>-68919.014302626107</v>
      </c>
      <c r="Q112" s="70">
        <v>0</v>
      </c>
      <c r="R112" s="70">
        <v>-68919.014302626107</v>
      </c>
      <c r="S112" s="56"/>
    </row>
    <row r="113" spans="1:19" ht="15" customHeight="1" x14ac:dyDescent="0.25">
      <c r="A113" s="70">
        <v>5506622</v>
      </c>
      <c r="B113" s="70" t="s">
        <v>98</v>
      </c>
      <c r="C113" s="71">
        <v>43265.396354166667</v>
      </c>
      <c r="D113" s="72">
        <v>44418</v>
      </c>
      <c r="E113" s="70" t="s">
        <v>111</v>
      </c>
      <c r="F113" s="70" t="s">
        <v>111</v>
      </c>
      <c r="G113" s="70" t="s">
        <v>82</v>
      </c>
      <c r="H113" s="70">
        <v>-22246.94</v>
      </c>
      <c r="I113" s="70" t="s">
        <v>22</v>
      </c>
      <c r="J113" s="70">
        <v>1000000</v>
      </c>
      <c r="K113" s="70" t="s">
        <v>18</v>
      </c>
      <c r="L113" s="70">
        <v>44.95</v>
      </c>
      <c r="M113" s="70" t="s">
        <v>83</v>
      </c>
      <c r="N113" s="70" t="s">
        <v>112</v>
      </c>
      <c r="O113" s="70" t="s">
        <v>85</v>
      </c>
      <c r="P113" s="70">
        <v>-66514.255071325795</v>
      </c>
      <c r="Q113" s="70">
        <v>0</v>
      </c>
      <c r="R113" s="70">
        <v>-66514.255071325795</v>
      </c>
      <c r="S113" s="56"/>
    </row>
    <row r="114" spans="1:19" ht="15" customHeight="1" x14ac:dyDescent="0.25">
      <c r="A114" s="70">
        <v>5506610</v>
      </c>
      <c r="B114" s="70" t="s">
        <v>98</v>
      </c>
      <c r="C114" s="71">
        <v>43265.39508101852</v>
      </c>
      <c r="D114" s="72">
        <v>44389</v>
      </c>
      <c r="E114" s="70" t="s">
        <v>111</v>
      </c>
      <c r="F114" s="70" t="s">
        <v>111</v>
      </c>
      <c r="G114" s="70" t="s">
        <v>82</v>
      </c>
      <c r="H114" s="70">
        <v>-22246.94</v>
      </c>
      <c r="I114" s="70" t="s">
        <v>22</v>
      </c>
      <c r="J114" s="70">
        <v>1000000</v>
      </c>
      <c r="K114" s="70" t="s">
        <v>18</v>
      </c>
      <c r="L114" s="70">
        <v>44.95</v>
      </c>
      <c r="M114" s="70" t="s">
        <v>83</v>
      </c>
      <c r="N114" s="70" t="s">
        <v>112</v>
      </c>
      <c r="O114" s="70" t="s">
        <v>85</v>
      </c>
      <c r="P114" s="70">
        <v>-64409.483803869101</v>
      </c>
      <c r="Q114" s="70">
        <v>0</v>
      </c>
      <c r="R114" s="70">
        <v>-64409.483803869101</v>
      </c>
      <c r="S114" s="56"/>
    </row>
    <row r="115" spans="1:19" ht="15" customHeight="1" x14ac:dyDescent="0.25">
      <c r="A115" s="70">
        <v>5506525</v>
      </c>
      <c r="B115" s="70" t="s">
        <v>98</v>
      </c>
      <c r="C115" s="71">
        <v>43265.388923611114</v>
      </c>
      <c r="D115" s="72">
        <v>44326</v>
      </c>
      <c r="E115" s="70" t="s">
        <v>111</v>
      </c>
      <c r="F115" s="70" t="s">
        <v>111</v>
      </c>
      <c r="G115" s="70" t="s">
        <v>82</v>
      </c>
      <c r="H115" s="70">
        <v>-22246.94</v>
      </c>
      <c r="I115" s="70" t="s">
        <v>22</v>
      </c>
      <c r="J115" s="70">
        <v>1000000</v>
      </c>
      <c r="K115" s="70" t="s">
        <v>18</v>
      </c>
      <c r="L115" s="70">
        <v>44.95</v>
      </c>
      <c r="M115" s="70" t="s">
        <v>83</v>
      </c>
      <c r="N115" s="70" t="s">
        <v>112</v>
      </c>
      <c r="O115" s="70" t="s">
        <v>85</v>
      </c>
      <c r="P115" s="70">
        <v>-60113.846353896901</v>
      </c>
      <c r="Q115" s="70">
        <v>0</v>
      </c>
      <c r="R115" s="70">
        <v>-60113.846353896901</v>
      </c>
      <c r="S115" s="56"/>
    </row>
    <row r="116" spans="1:19" ht="15" customHeight="1" x14ac:dyDescent="0.25">
      <c r="A116" s="70">
        <v>5506509</v>
      </c>
      <c r="B116" s="70" t="s">
        <v>98</v>
      </c>
      <c r="C116" s="71">
        <v>43265.38789351852</v>
      </c>
      <c r="D116" s="72">
        <v>44298</v>
      </c>
      <c r="E116" s="70" t="s">
        <v>111</v>
      </c>
      <c r="F116" s="70" t="s">
        <v>111</v>
      </c>
      <c r="G116" s="70" t="s">
        <v>82</v>
      </c>
      <c r="H116" s="70">
        <v>-22246.94</v>
      </c>
      <c r="I116" s="70" t="s">
        <v>22</v>
      </c>
      <c r="J116" s="70">
        <v>1000000</v>
      </c>
      <c r="K116" s="70" t="s">
        <v>18</v>
      </c>
      <c r="L116" s="70">
        <v>44.95</v>
      </c>
      <c r="M116" s="70" t="s">
        <v>83</v>
      </c>
      <c r="N116" s="70" t="s">
        <v>112</v>
      </c>
      <c r="O116" s="70" t="s">
        <v>85</v>
      </c>
      <c r="P116" s="70">
        <v>-58386.629259221401</v>
      </c>
      <c r="Q116" s="70">
        <v>0</v>
      </c>
      <c r="R116" s="70">
        <v>-58386.629259221401</v>
      </c>
      <c r="S116" s="56"/>
    </row>
    <row r="117" spans="1:19" ht="15" customHeight="1" x14ac:dyDescent="0.25">
      <c r="A117" s="70">
        <v>5506502</v>
      </c>
      <c r="B117" s="70" t="s">
        <v>98</v>
      </c>
      <c r="C117" s="71">
        <v>43265.386782407404</v>
      </c>
      <c r="D117" s="72">
        <v>44265</v>
      </c>
      <c r="E117" s="70" t="s">
        <v>111</v>
      </c>
      <c r="F117" s="70" t="s">
        <v>111</v>
      </c>
      <c r="G117" s="70" t="s">
        <v>82</v>
      </c>
      <c r="H117" s="70">
        <v>-22246.94</v>
      </c>
      <c r="I117" s="70" t="s">
        <v>22</v>
      </c>
      <c r="J117" s="70">
        <v>1000000</v>
      </c>
      <c r="K117" s="70" t="s">
        <v>18</v>
      </c>
      <c r="L117" s="70">
        <v>44.95</v>
      </c>
      <c r="M117" s="70" t="s">
        <v>83</v>
      </c>
      <c r="N117" s="70" t="s">
        <v>112</v>
      </c>
      <c r="O117" s="70" t="s">
        <v>85</v>
      </c>
      <c r="P117" s="70">
        <v>-56343.385439081401</v>
      </c>
      <c r="Q117" s="70">
        <v>0</v>
      </c>
      <c r="R117" s="70">
        <v>-56343.385439081401</v>
      </c>
      <c r="S117" s="56"/>
    </row>
    <row r="118" spans="1:19" ht="15" customHeight="1" x14ac:dyDescent="0.25">
      <c r="A118" s="70">
        <v>5506491</v>
      </c>
      <c r="B118" s="70" t="s">
        <v>98</v>
      </c>
      <c r="C118" s="71">
        <v>43265.38559027778</v>
      </c>
      <c r="D118" s="72">
        <v>44237</v>
      </c>
      <c r="E118" s="70" t="s">
        <v>111</v>
      </c>
      <c r="F118" s="70" t="s">
        <v>111</v>
      </c>
      <c r="G118" s="70" t="s">
        <v>82</v>
      </c>
      <c r="H118" s="70">
        <v>-22246.94</v>
      </c>
      <c r="I118" s="70" t="s">
        <v>22</v>
      </c>
      <c r="J118" s="70">
        <v>1000000</v>
      </c>
      <c r="K118" s="70" t="s">
        <v>18</v>
      </c>
      <c r="L118" s="70">
        <v>44.95</v>
      </c>
      <c r="M118" s="70" t="s">
        <v>83</v>
      </c>
      <c r="N118" s="70" t="s">
        <v>112</v>
      </c>
      <c r="O118" s="70" t="s">
        <v>85</v>
      </c>
      <c r="P118" s="70">
        <v>-54460.8000159515</v>
      </c>
      <c r="Q118" s="70">
        <v>0</v>
      </c>
      <c r="R118" s="70">
        <v>-54460.8000159515</v>
      </c>
      <c r="S118" s="56"/>
    </row>
    <row r="119" spans="1:19" ht="15" customHeight="1" x14ac:dyDescent="0.25">
      <c r="A119" s="70">
        <v>5506466</v>
      </c>
      <c r="B119" s="70" t="s">
        <v>98</v>
      </c>
      <c r="C119" s="71">
        <v>43265.384259259263</v>
      </c>
      <c r="D119" s="72">
        <v>44207</v>
      </c>
      <c r="E119" s="70" t="s">
        <v>111</v>
      </c>
      <c r="F119" s="70" t="s">
        <v>111</v>
      </c>
      <c r="G119" s="70" t="s">
        <v>82</v>
      </c>
      <c r="H119" s="70">
        <v>-22246.94</v>
      </c>
      <c r="I119" s="70" t="s">
        <v>22</v>
      </c>
      <c r="J119" s="70">
        <v>1000000</v>
      </c>
      <c r="K119" s="70" t="s">
        <v>18</v>
      </c>
      <c r="L119" s="70">
        <v>44.95</v>
      </c>
      <c r="M119" s="70" t="s">
        <v>83</v>
      </c>
      <c r="N119" s="70" t="s">
        <v>112</v>
      </c>
      <c r="O119" s="70" t="s">
        <v>85</v>
      </c>
      <c r="P119" s="70">
        <v>-52346.4758988295</v>
      </c>
      <c r="Q119" s="70">
        <v>0</v>
      </c>
      <c r="R119" s="70">
        <v>-52346.4758988295</v>
      </c>
      <c r="S119" s="56"/>
    </row>
    <row r="120" spans="1:19" ht="15" customHeight="1" x14ac:dyDescent="0.25">
      <c r="A120" s="70">
        <v>5506322</v>
      </c>
      <c r="B120" s="70" t="s">
        <v>98</v>
      </c>
      <c r="C120" s="71">
        <v>43265.371736111112</v>
      </c>
      <c r="D120" s="72">
        <v>44175</v>
      </c>
      <c r="E120" s="70" t="s">
        <v>111</v>
      </c>
      <c r="F120" s="70" t="s">
        <v>111</v>
      </c>
      <c r="G120" s="70" t="s">
        <v>82</v>
      </c>
      <c r="H120" s="70">
        <v>-22246.94</v>
      </c>
      <c r="I120" s="70" t="s">
        <v>22</v>
      </c>
      <c r="J120" s="70">
        <v>1000000</v>
      </c>
      <c r="K120" s="70" t="s">
        <v>18</v>
      </c>
      <c r="L120" s="70">
        <v>44.95</v>
      </c>
      <c r="M120" s="70" t="s">
        <v>83</v>
      </c>
      <c r="N120" s="70" t="s">
        <v>112</v>
      </c>
      <c r="O120" s="70" t="s">
        <v>85</v>
      </c>
      <c r="P120" s="70">
        <v>-50264.3844670978</v>
      </c>
      <c r="Q120" s="70">
        <v>0</v>
      </c>
      <c r="R120" s="70">
        <v>-50264.3844670978</v>
      </c>
      <c r="S120" s="56"/>
    </row>
    <row r="121" spans="1:19" ht="15" customHeight="1" x14ac:dyDescent="0.25">
      <c r="A121" s="70">
        <v>5506318</v>
      </c>
      <c r="B121" s="70" t="s">
        <v>98</v>
      </c>
      <c r="C121" s="71">
        <v>43265.371111111112</v>
      </c>
      <c r="D121" s="72">
        <v>44145</v>
      </c>
      <c r="E121" s="70" t="s">
        <v>111</v>
      </c>
      <c r="F121" s="70" t="s">
        <v>111</v>
      </c>
      <c r="G121" s="70" t="s">
        <v>82</v>
      </c>
      <c r="H121" s="70">
        <v>-22246.94</v>
      </c>
      <c r="I121" s="70" t="s">
        <v>22</v>
      </c>
      <c r="J121" s="70">
        <v>1000000</v>
      </c>
      <c r="K121" s="70" t="s">
        <v>18</v>
      </c>
      <c r="L121" s="70">
        <v>44.95</v>
      </c>
      <c r="M121" s="70" t="s">
        <v>83</v>
      </c>
      <c r="N121" s="70" t="s">
        <v>112</v>
      </c>
      <c r="O121" s="70" t="s">
        <v>85</v>
      </c>
      <c r="P121" s="70">
        <v>-48584.769811022998</v>
      </c>
      <c r="Q121" s="70">
        <v>0</v>
      </c>
      <c r="R121" s="70">
        <v>-48584.769811022998</v>
      </c>
      <c r="S121" s="56"/>
    </row>
    <row r="122" spans="1:19" ht="15" customHeight="1" x14ac:dyDescent="0.25">
      <c r="A122" s="70">
        <v>5506309</v>
      </c>
      <c r="B122" s="70" t="s">
        <v>98</v>
      </c>
      <c r="C122" s="71">
        <v>43265.370312500003</v>
      </c>
      <c r="D122" s="72">
        <v>44117</v>
      </c>
      <c r="E122" s="70" t="s">
        <v>111</v>
      </c>
      <c r="F122" s="70" t="s">
        <v>111</v>
      </c>
      <c r="G122" s="70" t="s">
        <v>82</v>
      </c>
      <c r="H122" s="70">
        <v>-22246.94</v>
      </c>
      <c r="I122" s="70" t="s">
        <v>22</v>
      </c>
      <c r="J122" s="70">
        <v>1000000</v>
      </c>
      <c r="K122" s="70" t="s">
        <v>18</v>
      </c>
      <c r="L122" s="70">
        <v>44.95</v>
      </c>
      <c r="M122" s="70" t="s">
        <v>83</v>
      </c>
      <c r="N122" s="70" t="s">
        <v>112</v>
      </c>
      <c r="O122" s="70" t="s">
        <v>85</v>
      </c>
      <c r="P122" s="70">
        <v>-47120.974980838</v>
      </c>
      <c r="Q122" s="70">
        <v>0</v>
      </c>
      <c r="R122" s="70">
        <v>-47120.974980838</v>
      </c>
      <c r="S122" s="56"/>
    </row>
    <row r="123" spans="1:19" ht="15" customHeight="1" x14ac:dyDescent="0.25">
      <c r="A123" s="70">
        <v>5506303</v>
      </c>
      <c r="B123" s="70" t="s">
        <v>98</v>
      </c>
      <c r="C123" s="71">
        <v>43265.369432870371</v>
      </c>
      <c r="D123" s="72">
        <v>44084</v>
      </c>
      <c r="E123" s="70" t="s">
        <v>111</v>
      </c>
      <c r="F123" s="70" t="s">
        <v>111</v>
      </c>
      <c r="G123" s="70" t="s">
        <v>82</v>
      </c>
      <c r="H123" s="70">
        <v>-22246.94</v>
      </c>
      <c r="I123" s="70" t="s">
        <v>22</v>
      </c>
      <c r="J123" s="70">
        <v>1000000</v>
      </c>
      <c r="K123" s="70" t="s">
        <v>18</v>
      </c>
      <c r="L123" s="70">
        <v>44.95</v>
      </c>
      <c r="M123" s="70" t="s">
        <v>83</v>
      </c>
      <c r="N123" s="70" t="s">
        <v>112</v>
      </c>
      <c r="O123" s="70" t="s">
        <v>85</v>
      </c>
      <c r="P123" s="70">
        <v>-45381.038713861002</v>
      </c>
      <c r="Q123" s="70">
        <v>0</v>
      </c>
      <c r="R123" s="70">
        <v>-45381.038713861002</v>
      </c>
      <c r="S123" s="56"/>
    </row>
    <row r="124" spans="1:19" ht="15" customHeight="1" x14ac:dyDescent="0.25">
      <c r="A124" s="70">
        <v>8816340</v>
      </c>
      <c r="B124" s="70" t="s">
        <v>93</v>
      </c>
      <c r="C124" s="71">
        <v>44064.508437500001</v>
      </c>
      <c r="D124" s="72">
        <v>44068</v>
      </c>
      <c r="E124" s="70" t="s">
        <v>94</v>
      </c>
      <c r="F124" s="70"/>
      <c r="G124" s="70" t="s">
        <v>86</v>
      </c>
      <c r="H124" s="70">
        <v>3406.21</v>
      </c>
      <c r="I124" s="70" t="s">
        <v>17</v>
      </c>
      <c r="J124" s="70">
        <v>-30000</v>
      </c>
      <c r="K124" s="70" t="s">
        <v>55</v>
      </c>
      <c r="L124" s="70">
        <v>8.8074399999999997</v>
      </c>
      <c r="M124" s="70" t="s">
        <v>90</v>
      </c>
      <c r="N124" s="70" t="s">
        <v>91</v>
      </c>
      <c r="O124" s="70" t="s">
        <v>85</v>
      </c>
      <c r="P124" s="70">
        <v>-178.98707933811201</v>
      </c>
      <c r="Q124" s="70">
        <v>0</v>
      </c>
      <c r="R124" s="70">
        <v>-178.98707933811201</v>
      </c>
      <c r="S124" s="56"/>
    </row>
    <row r="125" spans="1:19" ht="15" customHeight="1" x14ac:dyDescent="0.25">
      <c r="A125" s="70">
        <v>8816339</v>
      </c>
      <c r="B125" s="70" t="s">
        <v>93</v>
      </c>
      <c r="C125" s="71">
        <v>44064.508009259262</v>
      </c>
      <c r="D125" s="72">
        <v>44068</v>
      </c>
      <c r="E125" s="70" t="s">
        <v>94</v>
      </c>
      <c r="F125" s="70"/>
      <c r="G125" s="70" t="s">
        <v>82</v>
      </c>
      <c r="H125" s="70">
        <v>-23624.799999999999</v>
      </c>
      <c r="I125" s="70" t="s">
        <v>17</v>
      </c>
      <c r="J125" s="70">
        <v>2500000</v>
      </c>
      <c r="K125" s="70" t="s">
        <v>16</v>
      </c>
      <c r="L125" s="70">
        <v>105.821</v>
      </c>
      <c r="M125" s="70" t="s">
        <v>90</v>
      </c>
      <c r="N125" s="70" t="s">
        <v>91</v>
      </c>
      <c r="O125" s="70" t="s">
        <v>85</v>
      </c>
      <c r="P125" s="70">
        <v>765.67446590366296</v>
      </c>
      <c r="Q125" s="70">
        <v>0</v>
      </c>
      <c r="R125" s="70">
        <v>765.67446590366296</v>
      </c>
      <c r="S125" s="56"/>
    </row>
    <row r="126" spans="1:19" ht="15" customHeight="1" x14ac:dyDescent="0.25">
      <c r="A126" s="70">
        <v>8816329</v>
      </c>
      <c r="B126" s="70" t="s">
        <v>93</v>
      </c>
      <c r="C126" s="71">
        <v>44064.507557870369</v>
      </c>
      <c r="D126" s="72">
        <v>44068</v>
      </c>
      <c r="E126" s="70" t="s">
        <v>94</v>
      </c>
      <c r="F126" s="70"/>
      <c r="G126" s="70" t="s">
        <v>82</v>
      </c>
      <c r="H126" s="70">
        <v>-147773.54999999999</v>
      </c>
      <c r="I126" s="70" t="s">
        <v>17</v>
      </c>
      <c r="J126" s="70">
        <v>135000</v>
      </c>
      <c r="K126" s="70" t="s">
        <v>44</v>
      </c>
      <c r="L126" s="70">
        <v>0.91356000000000004</v>
      </c>
      <c r="M126" s="70" t="s">
        <v>90</v>
      </c>
      <c r="N126" s="70" t="s">
        <v>91</v>
      </c>
      <c r="O126" s="70" t="s">
        <v>85</v>
      </c>
      <c r="P126" s="70">
        <v>7485.9408539524302</v>
      </c>
      <c r="Q126" s="70">
        <v>0</v>
      </c>
      <c r="R126" s="70">
        <v>7485.9408539524302</v>
      </c>
      <c r="S126" s="56"/>
    </row>
    <row r="127" spans="1:19" ht="15" customHeight="1" x14ac:dyDescent="0.25">
      <c r="A127" s="70">
        <v>8816323</v>
      </c>
      <c r="B127" s="70" t="s">
        <v>93</v>
      </c>
      <c r="C127" s="71">
        <v>44064.507233796299</v>
      </c>
      <c r="D127" s="72">
        <v>44068</v>
      </c>
      <c r="E127" s="70" t="s">
        <v>94</v>
      </c>
      <c r="F127" s="70"/>
      <c r="G127" s="70" t="s">
        <v>82</v>
      </c>
      <c r="H127" s="70">
        <v>-13000</v>
      </c>
      <c r="I127" s="70" t="s">
        <v>25</v>
      </c>
      <c r="J127" s="70">
        <v>17033.77</v>
      </c>
      <c r="K127" s="70" t="s">
        <v>17</v>
      </c>
      <c r="L127" s="70">
        <v>1.31029</v>
      </c>
      <c r="M127" s="70" t="s">
        <v>90</v>
      </c>
      <c r="N127" s="70" t="s">
        <v>91</v>
      </c>
      <c r="O127" s="70" t="s">
        <v>85</v>
      </c>
      <c r="P127" s="70">
        <v>-704.48252316343098</v>
      </c>
      <c r="Q127" s="70">
        <v>0</v>
      </c>
      <c r="R127" s="70">
        <v>-704.48252316343098</v>
      </c>
      <c r="S127" s="56"/>
    </row>
    <row r="128" spans="1:19" ht="15" customHeight="1" x14ac:dyDescent="0.25">
      <c r="A128" s="70">
        <v>8816317</v>
      </c>
      <c r="B128" s="70" t="s">
        <v>93</v>
      </c>
      <c r="C128" s="71">
        <v>44064.507025462961</v>
      </c>
      <c r="D128" s="72">
        <v>44068</v>
      </c>
      <c r="E128" s="70" t="s">
        <v>94</v>
      </c>
      <c r="F128" s="70"/>
      <c r="G128" s="70" t="s">
        <v>82</v>
      </c>
      <c r="H128" s="70">
        <v>-68000</v>
      </c>
      <c r="I128" s="70" t="s">
        <v>22</v>
      </c>
      <c r="J128" s="70">
        <v>79970.039999999994</v>
      </c>
      <c r="K128" s="70" t="s">
        <v>17</v>
      </c>
      <c r="L128" s="70">
        <v>1.1760299999999999</v>
      </c>
      <c r="M128" s="70" t="s">
        <v>90</v>
      </c>
      <c r="N128" s="70" t="s">
        <v>91</v>
      </c>
      <c r="O128" s="70" t="s">
        <v>85</v>
      </c>
      <c r="P128" s="70">
        <v>-5608.7647036472299</v>
      </c>
      <c r="Q128" s="70">
        <v>0</v>
      </c>
      <c r="R128" s="70">
        <v>-5608.7647036472299</v>
      </c>
      <c r="S128" s="56"/>
    </row>
    <row r="129" spans="1:19" ht="15" customHeight="1" x14ac:dyDescent="0.25">
      <c r="A129" s="70">
        <v>8815503</v>
      </c>
      <c r="B129" s="70" t="s">
        <v>93</v>
      </c>
      <c r="C129" s="71">
        <v>44064.473287037035</v>
      </c>
      <c r="D129" s="72">
        <v>44067</v>
      </c>
      <c r="E129" s="70" t="s">
        <v>353</v>
      </c>
      <c r="F129" s="70" t="s">
        <v>353</v>
      </c>
      <c r="G129" s="70" t="s">
        <v>82</v>
      </c>
      <c r="H129" s="70">
        <v>-2483000</v>
      </c>
      <c r="I129" s="70" t="s">
        <v>16</v>
      </c>
      <c r="J129" s="70">
        <v>937332.5</v>
      </c>
      <c r="K129" s="70" t="s">
        <v>18</v>
      </c>
      <c r="L129" s="70">
        <v>0.3775</v>
      </c>
      <c r="M129" s="70" t="s">
        <v>108</v>
      </c>
      <c r="N129" s="70" t="s">
        <v>117</v>
      </c>
      <c r="O129" s="70" t="s">
        <v>95</v>
      </c>
      <c r="P129" s="70">
        <v>1510.6144311998501</v>
      </c>
      <c r="Q129" s="70">
        <v>0</v>
      </c>
      <c r="R129" s="70">
        <v>1510.6144311998501</v>
      </c>
      <c r="S129" s="56"/>
    </row>
    <row r="130" spans="1:19" ht="15" customHeight="1" x14ac:dyDescent="0.25">
      <c r="A130" s="70">
        <v>8815441</v>
      </c>
      <c r="B130" s="70" t="s">
        <v>93</v>
      </c>
      <c r="C130" s="71">
        <v>44064.468414351853</v>
      </c>
      <c r="D130" s="72">
        <v>44067</v>
      </c>
      <c r="E130" s="70" t="s">
        <v>354</v>
      </c>
      <c r="F130" s="70" t="s">
        <v>354</v>
      </c>
      <c r="G130" s="70" t="s">
        <v>82</v>
      </c>
      <c r="H130" s="70">
        <v>-145747</v>
      </c>
      <c r="I130" s="70" t="s">
        <v>44</v>
      </c>
      <c r="J130" s="70">
        <v>6434730.0499999998</v>
      </c>
      <c r="K130" s="70" t="s">
        <v>18</v>
      </c>
      <c r="L130" s="70">
        <v>44.15</v>
      </c>
      <c r="M130" s="70" t="s">
        <v>108</v>
      </c>
      <c r="N130" s="70" t="s">
        <v>117</v>
      </c>
      <c r="O130" s="70" t="s">
        <v>95</v>
      </c>
      <c r="P130" s="70">
        <v>69108.764983454705</v>
      </c>
      <c r="Q130" s="70">
        <v>0</v>
      </c>
      <c r="R130" s="70">
        <v>69108.764983454705</v>
      </c>
      <c r="S130" s="56"/>
    </row>
    <row r="131" spans="1:19" ht="15" customHeight="1" x14ac:dyDescent="0.25">
      <c r="A131" s="70">
        <v>8815226</v>
      </c>
      <c r="B131" s="70" t="s">
        <v>93</v>
      </c>
      <c r="C131" s="71">
        <v>44064.449456018519</v>
      </c>
      <c r="D131" s="72">
        <v>44068</v>
      </c>
      <c r="E131" s="70" t="s">
        <v>94</v>
      </c>
      <c r="F131" s="70"/>
      <c r="G131" s="70" t="s">
        <v>86</v>
      </c>
      <c r="H131" s="70">
        <v>416000</v>
      </c>
      <c r="I131" s="70" t="s">
        <v>22</v>
      </c>
      <c r="J131" s="70">
        <v>-490576.32</v>
      </c>
      <c r="K131" s="70" t="s">
        <v>17</v>
      </c>
      <c r="L131" s="70">
        <v>1.17927</v>
      </c>
      <c r="M131" s="70" t="s">
        <v>90</v>
      </c>
      <c r="N131" s="70" t="s">
        <v>91</v>
      </c>
      <c r="O131" s="70" t="s">
        <v>85</v>
      </c>
      <c r="P131" s="70">
        <v>-19393.9894612096</v>
      </c>
      <c r="Q131" s="70">
        <v>0</v>
      </c>
      <c r="R131" s="70">
        <v>-19393.9894612096</v>
      </c>
      <c r="S131" s="56"/>
    </row>
    <row r="132" spans="1:19" ht="15" customHeight="1" x14ac:dyDescent="0.25">
      <c r="A132" s="70">
        <v>8815225</v>
      </c>
      <c r="B132" s="70" t="s">
        <v>93</v>
      </c>
      <c r="C132" s="71">
        <v>44064.448842592596</v>
      </c>
      <c r="D132" s="72">
        <v>44068</v>
      </c>
      <c r="E132" s="70" t="s">
        <v>94</v>
      </c>
      <c r="F132" s="70"/>
      <c r="G132" s="70" t="s">
        <v>82</v>
      </c>
      <c r="H132" s="70">
        <v>-9268.83</v>
      </c>
      <c r="I132" s="70" t="s">
        <v>17</v>
      </c>
      <c r="J132" s="70">
        <v>160000</v>
      </c>
      <c r="K132" s="70" t="s">
        <v>20</v>
      </c>
      <c r="L132" s="70">
        <v>17.262160000000002</v>
      </c>
      <c r="M132" s="70" t="s">
        <v>90</v>
      </c>
      <c r="N132" s="70" t="s">
        <v>91</v>
      </c>
      <c r="O132" s="70" t="s">
        <v>85</v>
      </c>
      <c r="P132" s="70">
        <v>689.29490950173897</v>
      </c>
      <c r="Q132" s="70">
        <v>0</v>
      </c>
      <c r="R132" s="70">
        <v>689.29490950173897</v>
      </c>
      <c r="S132" s="56"/>
    </row>
    <row r="133" spans="1:19" ht="15" customHeight="1" x14ac:dyDescent="0.25">
      <c r="A133" s="70">
        <v>8815163</v>
      </c>
      <c r="B133" s="70" t="s">
        <v>93</v>
      </c>
      <c r="C133" s="71">
        <v>44064.443101851852</v>
      </c>
      <c r="D133" s="72">
        <v>44068</v>
      </c>
      <c r="E133" s="70" t="s">
        <v>96</v>
      </c>
      <c r="F133" s="70"/>
      <c r="G133" s="70" t="s">
        <v>86</v>
      </c>
      <c r="H133" s="70">
        <v>116000</v>
      </c>
      <c r="I133" s="70" t="s">
        <v>22</v>
      </c>
      <c r="J133" s="70">
        <v>-136711.79999999999</v>
      </c>
      <c r="K133" s="70" t="s">
        <v>17</v>
      </c>
      <c r="L133" s="70">
        <v>1.17855</v>
      </c>
      <c r="M133" s="70" t="s">
        <v>90</v>
      </c>
      <c r="N133" s="70" t="s">
        <v>91</v>
      </c>
      <c r="O133" s="70" t="s">
        <v>85</v>
      </c>
      <c r="P133" s="70">
        <v>-2079.97668038029</v>
      </c>
      <c r="Q133" s="70">
        <v>0</v>
      </c>
      <c r="R133" s="70">
        <v>-2079.97668038029</v>
      </c>
      <c r="S133" s="56"/>
    </row>
    <row r="134" spans="1:19" ht="15" customHeight="1" x14ac:dyDescent="0.25">
      <c r="A134" s="70">
        <v>8815032</v>
      </c>
      <c r="B134" s="70" t="s">
        <v>93</v>
      </c>
      <c r="C134" s="71">
        <v>44064.426886574074</v>
      </c>
      <c r="D134" s="72">
        <v>44068</v>
      </c>
      <c r="E134" s="70" t="s">
        <v>94</v>
      </c>
      <c r="F134" s="70"/>
      <c r="G134" s="70" t="s">
        <v>82</v>
      </c>
      <c r="H134" s="70">
        <v>-5871.32</v>
      </c>
      <c r="I134" s="70" t="s">
        <v>17</v>
      </c>
      <c r="J134" s="70">
        <v>620000</v>
      </c>
      <c r="K134" s="70" t="s">
        <v>16</v>
      </c>
      <c r="L134" s="70">
        <v>105.598</v>
      </c>
      <c r="M134" s="70" t="s">
        <v>90</v>
      </c>
      <c r="N134" s="70" t="s">
        <v>91</v>
      </c>
      <c r="O134" s="70" t="s">
        <v>85</v>
      </c>
      <c r="P134" s="70">
        <v>-302.99548237235302</v>
      </c>
      <c r="Q134" s="70">
        <v>0</v>
      </c>
      <c r="R134" s="70">
        <v>-302.99548237235302</v>
      </c>
      <c r="S134" s="56"/>
    </row>
    <row r="135" spans="1:19" ht="15" customHeight="1" x14ac:dyDescent="0.25">
      <c r="A135" s="70">
        <v>8815027</v>
      </c>
      <c r="B135" s="70" t="s">
        <v>93</v>
      </c>
      <c r="C135" s="71">
        <v>44064.426435185182</v>
      </c>
      <c r="D135" s="72">
        <v>44067</v>
      </c>
      <c r="E135" s="70" t="s">
        <v>94</v>
      </c>
      <c r="F135" s="70"/>
      <c r="G135" s="70" t="s">
        <v>82</v>
      </c>
      <c r="H135" s="70">
        <v>-30321.41</v>
      </c>
      <c r="I135" s="70" t="s">
        <v>17</v>
      </c>
      <c r="J135" s="70">
        <v>40000</v>
      </c>
      <c r="K135" s="70" t="s">
        <v>23</v>
      </c>
      <c r="L135" s="70">
        <v>1.3191999999999999</v>
      </c>
      <c r="M135" s="70" t="s">
        <v>90</v>
      </c>
      <c r="N135" s="70" t="s">
        <v>91</v>
      </c>
      <c r="O135" s="70" t="s">
        <v>85</v>
      </c>
      <c r="P135" s="70">
        <v>-2728.30984684941</v>
      </c>
      <c r="Q135" s="70">
        <v>0</v>
      </c>
      <c r="R135" s="70">
        <v>-2728.30984684941</v>
      </c>
      <c r="S135" s="56"/>
    </row>
    <row r="136" spans="1:19" ht="15" customHeight="1" x14ac:dyDescent="0.25">
      <c r="A136" s="70">
        <v>8815026</v>
      </c>
      <c r="B136" s="70" t="s">
        <v>93</v>
      </c>
      <c r="C136" s="71">
        <v>44064.426296296297</v>
      </c>
      <c r="D136" s="72">
        <v>44067</v>
      </c>
      <c r="E136" s="70" t="s">
        <v>94</v>
      </c>
      <c r="F136" s="70"/>
      <c r="G136" s="70" t="s">
        <v>86</v>
      </c>
      <c r="H136" s="70">
        <v>15158.52</v>
      </c>
      <c r="I136" s="70" t="s">
        <v>17</v>
      </c>
      <c r="J136" s="70">
        <v>-20000</v>
      </c>
      <c r="K136" s="70" t="s">
        <v>23</v>
      </c>
      <c r="L136" s="70">
        <v>1.3193900000000001</v>
      </c>
      <c r="M136" s="70" t="s">
        <v>90</v>
      </c>
      <c r="N136" s="70" t="s">
        <v>91</v>
      </c>
      <c r="O136" s="70" t="s">
        <v>85</v>
      </c>
      <c r="P136" s="70">
        <v>1277.0905383905599</v>
      </c>
      <c r="Q136" s="70">
        <v>0</v>
      </c>
      <c r="R136" s="70">
        <v>1277.0905383905599</v>
      </c>
      <c r="S136" s="56"/>
    </row>
    <row r="137" spans="1:19" ht="15" customHeight="1" x14ac:dyDescent="0.25">
      <c r="A137" s="70">
        <v>8815025</v>
      </c>
      <c r="B137" s="70" t="s">
        <v>93</v>
      </c>
      <c r="C137" s="71">
        <v>44064.426006944443</v>
      </c>
      <c r="D137" s="72">
        <v>44068</v>
      </c>
      <c r="E137" s="70" t="s">
        <v>94</v>
      </c>
      <c r="F137" s="70"/>
      <c r="G137" s="70" t="s">
        <v>82</v>
      </c>
      <c r="H137" s="70">
        <v>-60000</v>
      </c>
      <c r="I137" s="70" t="s">
        <v>22</v>
      </c>
      <c r="J137" s="70">
        <v>70888.800000000003</v>
      </c>
      <c r="K137" s="70" t="s">
        <v>17</v>
      </c>
      <c r="L137" s="70">
        <v>1.1814800000000001</v>
      </c>
      <c r="M137" s="70" t="s">
        <v>90</v>
      </c>
      <c r="N137" s="70" t="s">
        <v>91</v>
      </c>
      <c r="O137" s="70" t="s">
        <v>85</v>
      </c>
      <c r="P137" s="70">
        <v>8080.8289421689697</v>
      </c>
      <c r="Q137" s="70">
        <v>0</v>
      </c>
      <c r="R137" s="70">
        <v>8080.8289421689697</v>
      </c>
      <c r="S137" s="56"/>
    </row>
    <row r="138" spans="1:19" ht="15" customHeight="1" x14ac:dyDescent="0.25">
      <c r="A138" s="70">
        <v>8814470</v>
      </c>
      <c r="B138" s="70" t="s">
        <v>93</v>
      </c>
      <c r="C138" s="71">
        <v>44064.386111111111</v>
      </c>
      <c r="D138" s="72">
        <v>44068</v>
      </c>
      <c r="E138" s="70" t="s">
        <v>94</v>
      </c>
      <c r="F138" s="70"/>
      <c r="G138" s="70" t="s">
        <v>82</v>
      </c>
      <c r="H138" s="70">
        <v>-16094.57</v>
      </c>
      <c r="I138" s="70" t="s">
        <v>17</v>
      </c>
      <c r="J138" s="70">
        <v>278000</v>
      </c>
      <c r="K138" s="70" t="s">
        <v>20</v>
      </c>
      <c r="L138" s="70">
        <v>17.27291</v>
      </c>
      <c r="M138" s="70" t="s">
        <v>90</v>
      </c>
      <c r="N138" s="70" t="s">
        <v>91</v>
      </c>
      <c r="O138" s="70" t="s">
        <v>85</v>
      </c>
      <c r="P138" s="70">
        <v>1596.9944701606901</v>
      </c>
      <c r="Q138" s="70">
        <v>0</v>
      </c>
      <c r="R138" s="70">
        <v>1596.9944701606901</v>
      </c>
      <c r="S138" s="56"/>
    </row>
    <row r="139" spans="1:19" ht="15" customHeight="1" x14ac:dyDescent="0.25">
      <c r="A139" s="70">
        <v>8814465</v>
      </c>
      <c r="B139" s="70" t="s">
        <v>93</v>
      </c>
      <c r="C139" s="71">
        <v>44064.385763888888</v>
      </c>
      <c r="D139" s="72">
        <v>44068</v>
      </c>
      <c r="E139" s="70" t="s">
        <v>94</v>
      </c>
      <c r="F139" s="70"/>
      <c r="G139" s="70" t="s">
        <v>82</v>
      </c>
      <c r="H139" s="70">
        <v>-98000</v>
      </c>
      <c r="I139" s="70" t="s">
        <v>25</v>
      </c>
      <c r="J139" s="70">
        <v>129279.64</v>
      </c>
      <c r="K139" s="70" t="s">
        <v>17</v>
      </c>
      <c r="L139" s="70">
        <v>1.31918</v>
      </c>
      <c r="M139" s="70" t="s">
        <v>90</v>
      </c>
      <c r="N139" s="70" t="s">
        <v>91</v>
      </c>
      <c r="O139" s="70" t="s">
        <v>85</v>
      </c>
      <c r="P139" s="70">
        <v>29404.176082763799</v>
      </c>
      <c r="Q139" s="70">
        <v>0</v>
      </c>
      <c r="R139" s="70">
        <v>29404.176082763799</v>
      </c>
      <c r="S139" s="56"/>
    </row>
    <row r="140" spans="1:19" ht="15" customHeight="1" x14ac:dyDescent="0.25">
      <c r="A140" s="70">
        <v>8814073</v>
      </c>
      <c r="B140" s="70" t="s">
        <v>93</v>
      </c>
      <c r="C140" s="71">
        <v>44064.353495370371</v>
      </c>
      <c r="D140" s="72">
        <v>44068</v>
      </c>
      <c r="E140" s="70" t="s">
        <v>130</v>
      </c>
      <c r="F140" s="70"/>
      <c r="G140" s="70" t="s">
        <v>82</v>
      </c>
      <c r="H140" s="70">
        <v>-2000000</v>
      </c>
      <c r="I140" s="70" t="s">
        <v>22</v>
      </c>
      <c r="J140" s="70">
        <v>2363040</v>
      </c>
      <c r="K140" s="70" t="s">
        <v>17</v>
      </c>
      <c r="L140" s="70">
        <v>1.1815199999999999</v>
      </c>
      <c r="M140" s="70" t="s">
        <v>90</v>
      </c>
      <c r="N140" s="70" t="s">
        <v>131</v>
      </c>
      <c r="O140" s="70" t="s">
        <v>85</v>
      </c>
      <c r="P140" s="70">
        <v>272548.66846369201</v>
      </c>
      <c r="Q140" s="70">
        <v>0</v>
      </c>
      <c r="R140" s="70">
        <v>272548.66846369201</v>
      </c>
      <c r="S140" s="56"/>
    </row>
    <row r="141" spans="1:19" ht="15" customHeight="1" x14ac:dyDescent="0.25">
      <c r="A141" s="70">
        <v>8814068</v>
      </c>
      <c r="B141" s="70" t="s">
        <v>93</v>
      </c>
      <c r="C141" s="71">
        <v>44064.352685185186</v>
      </c>
      <c r="D141" s="72">
        <v>44068</v>
      </c>
      <c r="E141" s="70" t="s">
        <v>130</v>
      </c>
      <c r="F141" s="70"/>
      <c r="G141" s="70" t="s">
        <v>86</v>
      </c>
      <c r="H141" s="70">
        <v>2000000</v>
      </c>
      <c r="I141" s="70" t="s">
        <v>22</v>
      </c>
      <c r="J141" s="70">
        <v>-2367040</v>
      </c>
      <c r="K141" s="70" t="s">
        <v>17</v>
      </c>
      <c r="L141" s="70">
        <v>1.1835199999999999</v>
      </c>
      <c r="M141" s="70" t="s">
        <v>90</v>
      </c>
      <c r="N141" s="70" t="s">
        <v>131</v>
      </c>
      <c r="O141" s="70" t="s">
        <v>85</v>
      </c>
      <c r="P141" s="70">
        <v>-431933.85469977598</v>
      </c>
      <c r="Q141" s="70">
        <v>0</v>
      </c>
      <c r="R141" s="70">
        <v>-431933.85469977598</v>
      </c>
      <c r="S141" s="56"/>
    </row>
    <row r="142" spans="1:19" ht="15" customHeight="1" x14ac:dyDescent="0.25">
      <c r="A142" s="70">
        <v>8813828</v>
      </c>
      <c r="B142" s="70" t="s">
        <v>93</v>
      </c>
      <c r="C142" s="71">
        <v>44064.32644675926</v>
      </c>
      <c r="D142" s="72">
        <v>44067</v>
      </c>
      <c r="E142" s="70" t="s">
        <v>135</v>
      </c>
      <c r="F142" s="70" t="s">
        <v>135</v>
      </c>
      <c r="G142" s="70" t="s">
        <v>82</v>
      </c>
      <c r="H142" s="70">
        <v>-93711.93</v>
      </c>
      <c r="I142" s="70" t="s">
        <v>17</v>
      </c>
      <c r="J142" s="70">
        <v>3728797.69</v>
      </c>
      <c r="K142" s="70" t="s">
        <v>18</v>
      </c>
      <c r="L142" s="70">
        <v>39.79</v>
      </c>
      <c r="M142" s="70" t="s">
        <v>83</v>
      </c>
      <c r="N142" s="70" t="s">
        <v>89</v>
      </c>
      <c r="O142" s="70" t="s">
        <v>95</v>
      </c>
      <c r="P142" s="70">
        <v>-5702.1633892930104</v>
      </c>
      <c r="Q142" s="70">
        <v>0</v>
      </c>
      <c r="R142" s="70">
        <v>-5702.1633892930104</v>
      </c>
      <c r="S142" s="56"/>
    </row>
    <row r="143" spans="1:19" ht="15" customHeight="1" x14ac:dyDescent="0.25">
      <c r="A143" s="70">
        <v>8813822</v>
      </c>
      <c r="B143" s="70" t="s">
        <v>93</v>
      </c>
      <c r="C143" s="71">
        <v>44064.326053240744</v>
      </c>
      <c r="D143" s="72">
        <v>44068</v>
      </c>
      <c r="E143" s="70" t="s">
        <v>94</v>
      </c>
      <c r="F143" s="70"/>
      <c r="G143" s="70" t="s">
        <v>86</v>
      </c>
      <c r="H143" s="70">
        <v>322000</v>
      </c>
      <c r="I143" s="70" t="s">
        <v>22</v>
      </c>
      <c r="J143" s="70">
        <v>-381376.8</v>
      </c>
      <c r="K143" s="70" t="s">
        <v>17</v>
      </c>
      <c r="L143" s="70">
        <v>1.1843999999999999</v>
      </c>
      <c r="M143" s="70" t="s">
        <v>90</v>
      </c>
      <c r="N143" s="70" t="s">
        <v>87</v>
      </c>
      <c r="O143" s="70" t="s">
        <v>85</v>
      </c>
      <c r="P143" s="70">
        <v>-80832.197199624003</v>
      </c>
      <c r="Q143" s="70">
        <v>0</v>
      </c>
      <c r="R143" s="70">
        <v>-80832.197199624003</v>
      </c>
      <c r="S143" s="56"/>
    </row>
    <row r="144" spans="1:19" ht="15" customHeight="1" x14ac:dyDescent="0.25">
      <c r="A144" s="70">
        <v>8813814</v>
      </c>
      <c r="B144" s="70" t="s">
        <v>93</v>
      </c>
      <c r="C144" s="71">
        <v>44064.324942129628</v>
      </c>
      <c r="D144" s="72">
        <v>44067</v>
      </c>
      <c r="E144" s="70" t="s">
        <v>94</v>
      </c>
      <c r="F144" s="70"/>
      <c r="G144" s="70" t="s">
        <v>82</v>
      </c>
      <c r="H144" s="70">
        <v>-109714</v>
      </c>
      <c r="I144" s="70" t="s">
        <v>17</v>
      </c>
      <c r="J144" s="70">
        <v>150000</v>
      </c>
      <c r="K144" s="70" t="s">
        <v>24</v>
      </c>
      <c r="L144" s="70">
        <v>1.367191</v>
      </c>
      <c r="M144" s="70" t="s">
        <v>90</v>
      </c>
      <c r="N144" s="70" t="s">
        <v>355</v>
      </c>
      <c r="O144" s="70" t="s">
        <v>85</v>
      </c>
      <c r="P144" s="70">
        <v>-10119.2399659939</v>
      </c>
      <c r="Q144" s="70">
        <v>0</v>
      </c>
      <c r="R144" s="70">
        <v>-10119.2399659939</v>
      </c>
      <c r="S144" s="56"/>
    </row>
    <row r="145" spans="1:19" ht="15" customHeight="1" x14ac:dyDescent="0.25">
      <c r="A145" s="70">
        <v>8813761</v>
      </c>
      <c r="B145" s="70" t="s">
        <v>93</v>
      </c>
      <c r="C145" s="71">
        <v>44064.318043981482</v>
      </c>
      <c r="D145" s="72">
        <v>44068</v>
      </c>
      <c r="E145" s="70" t="s">
        <v>133</v>
      </c>
      <c r="F145" s="70"/>
      <c r="G145" s="70" t="s">
        <v>86</v>
      </c>
      <c r="H145" s="70">
        <v>2000000</v>
      </c>
      <c r="I145" s="70" t="s">
        <v>22</v>
      </c>
      <c r="J145" s="70">
        <v>-2369000</v>
      </c>
      <c r="K145" s="70" t="s">
        <v>17</v>
      </c>
      <c r="L145" s="70">
        <v>1.1845000000000001</v>
      </c>
      <c r="M145" s="70" t="s">
        <v>90</v>
      </c>
      <c r="N145" s="70" t="s">
        <v>91</v>
      </c>
      <c r="O145" s="70" t="s">
        <v>85</v>
      </c>
      <c r="P145" s="70">
        <v>-510032.595955431</v>
      </c>
      <c r="Q145" s="70">
        <v>0</v>
      </c>
      <c r="R145" s="70">
        <v>-510032.595955431</v>
      </c>
      <c r="S145" s="56"/>
    </row>
    <row r="146" spans="1:19" ht="15" customHeight="1" x14ac:dyDescent="0.25">
      <c r="A146" s="70">
        <v>8813753</v>
      </c>
      <c r="B146" s="70" t="s">
        <v>93</v>
      </c>
      <c r="C146" s="71">
        <v>44064.317847222221</v>
      </c>
      <c r="D146" s="72">
        <v>44068</v>
      </c>
      <c r="E146" s="70" t="s">
        <v>133</v>
      </c>
      <c r="F146" s="70"/>
      <c r="G146" s="70" t="s">
        <v>82</v>
      </c>
      <c r="H146" s="70">
        <v>-2000000</v>
      </c>
      <c r="I146" s="70" t="s">
        <v>22</v>
      </c>
      <c r="J146" s="70">
        <v>2368380</v>
      </c>
      <c r="K146" s="70" t="s">
        <v>17</v>
      </c>
      <c r="L146" s="70">
        <v>1.1841900000000001</v>
      </c>
      <c r="M146" s="70" t="s">
        <v>90</v>
      </c>
      <c r="N146" s="70" t="s">
        <v>91</v>
      </c>
      <c r="O146" s="70" t="s">
        <v>85</v>
      </c>
      <c r="P146" s="70">
        <v>485327.89208884502</v>
      </c>
      <c r="Q146" s="70">
        <v>0</v>
      </c>
      <c r="R146" s="70">
        <v>485327.89208884502</v>
      </c>
      <c r="S146" s="56"/>
    </row>
    <row r="147" spans="1:19" ht="15" customHeight="1" x14ac:dyDescent="0.25">
      <c r="A147" s="70">
        <v>8813743</v>
      </c>
      <c r="B147" s="70" t="s">
        <v>93</v>
      </c>
      <c r="C147" s="71">
        <v>44064.315578703703</v>
      </c>
      <c r="D147" s="72">
        <v>44068</v>
      </c>
      <c r="E147" s="70" t="s">
        <v>130</v>
      </c>
      <c r="F147" s="70"/>
      <c r="G147" s="70" t="s">
        <v>82</v>
      </c>
      <c r="H147" s="70">
        <v>-2000000</v>
      </c>
      <c r="I147" s="70" t="s">
        <v>22</v>
      </c>
      <c r="J147" s="70">
        <v>2369000</v>
      </c>
      <c r="K147" s="70" t="s">
        <v>17</v>
      </c>
      <c r="L147" s="70">
        <v>1.1845000000000001</v>
      </c>
      <c r="M147" s="70" t="s">
        <v>90</v>
      </c>
      <c r="N147" s="70" t="s">
        <v>131</v>
      </c>
      <c r="O147" s="70" t="s">
        <v>85</v>
      </c>
      <c r="P147" s="70">
        <v>510032.595955431</v>
      </c>
      <c r="Q147" s="70">
        <v>0</v>
      </c>
      <c r="R147" s="70">
        <v>510032.595955431</v>
      </c>
      <c r="S147" s="56"/>
    </row>
    <row r="148" spans="1:19" ht="15" customHeight="1" x14ac:dyDescent="0.25">
      <c r="A148" s="70">
        <v>8813735</v>
      </c>
      <c r="B148" s="70" t="s">
        <v>93</v>
      </c>
      <c r="C148" s="71">
        <v>44064.314502314817</v>
      </c>
      <c r="D148" s="72">
        <v>44068</v>
      </c>
      <c r="E148" s="70" t="s">
        <v>130</v>
      </c>
      <c r="F148" s="70"/>
      <c r="G148" s="70" t="s">
        <v>86</v>
      </c>
      <c r="H148" s="70">
        <v>2000000</v>
      </c>
      <c r="I148" s="70" t="s">
        <v>22</v>
      </c>
      <c r="J148" s="70">
        <v>-2368380</v>
      </c>
      <c r="K148" s="70" t="s">
        <v>17</v>
      </c>
      <c r="L148" s="70">
        <v>1.1841900000000001</v>
      </c>
      <c r="M148" s="70" t="s">
        <v>90</v>
      </c>
      <c r="N148" s="70" t="s">
        <v>131</v>
      </c>
      <c r="O148" s="70" t="s">
        <v>85</v>
      </c>
      <c r="P148" s="70">
        <v>-485327.89208884502</v>
      </c>
      <c r="Q148" s="70">
        <v>0</v>
      </c>
      <c r="R148" s="70">
        <v>-485327.89208884502</v>
      </c>
      <c r="S148" s="56"/>
    </row>
    <row r="149" spans="1:19" ht="15" customHeight="1" x14ac:dyDescent="0.25">
      <c r="A149" s="70">
        <v>8813701</v>
      </c>
      <c r="B149" s="70" t="s">
        <v>93</v>
      </c>
      <c r="C149" s="71">
        <v>44064.309895833336</v>
      </c>
      <c r="D149" s="72">
        <v>44068</v>
      </c>
      <c r="E149" s="70" t="s">
        <v>133</v>
      </c>
      <c r="F149" s="70"/>
      <c r="G149" s="70" t="s">
        <v>82</v>
      </c>
      <c r="H149" s="70">
        <v>-1000000</v>
      </c>
      <c r="I149" s="70" t="s">
        <v>22</v>
      </c>
      <c r="J149" s="70">
        <v>1187300</v>
      </c>
      <c r="K149" s="70" t="s">
        <v>17</v>
      </c>
      <c r="L149" s="70">
        <v>1.1873</v>
      </c>
      <c r="M149" s="70" t="s">
        <v>90</v>
      </c>
      <c r="N149" s="70" t="s">
        <v>91</v>
      </c>
      <c r="O149" s="70" t="s">
        <v>85</v>
      </c>
      <c r="P149" s="70">
        <v>366585.92834296799</v>
      </c>
      <c r="Q149" s="70">
        <v>0</v>
      </c>
      <c r="R149" s="70">
        <v>366585.92834296799</v>
      </c>
      <c r="S149" s="56"/>
    </row>
    <row r="150" spans="1:19" ht="15" customHeight="1" x14ac:dyDescent="0.25">
      <c r="A150" s="70">
        <v>8813579</v>
      </c>
      <c r="B150" s="70" t="s">
        <v>93</v>
      </c>
      <c r="C150" s="71">
        <v>44064.295289351852</v>
      </c>
      <c r="D150" s="72">
        <v>44068</v>
      </c>
      <c r="E150" s="70" t="s">
        <v>96</v>
      </c>
      <c r="F150" s="70"/>
      <c r="G150" s="70" t="s">
        <v>86</v>
      </c>
      <c r="H150" s="70">
        <v>1000000</v>
      </c>
      <c r="I150" s="70" t="s">
        <v>22</v>
      </c>
      <c r="J150" s="70">
        <v>-1187300</v>
      </c>
      <c r="K150" s="70" t="s">
        <v>17</v>
      </c>
      <c r="L150" s="70">
        <v>1.1873</v>
      </c>
      <c r="M150" s="70" t="s">
        <v>90</v>
      </c>
      <c r="N150" s="70" t="s">
        <v>91</v>
      </c>
      <c r="O150" s="70" t="s">
        <v>85</v>
      </c>
      <c r="P150" s="70">
        <v>-366585.92834296799</v>
      </c>
      <c r="Q150" s="70">
        <v>0</v>
      </c>
      <c r="R150" s="70">
        <v>-366585.92834296799</v>
      </c>
      <c r="S150" s="56"/>
    </row>
    <row r="151" spans="1:19" ht="15" customHeight="1" x14ac:dyDescent="0.25">
      <c r="A151" s="70">
        <v>8813548</v>
      </c>
      <c r="B151" s="70" t="s">
        <v>93</v>
      </c>
      <c r="C151" s="71">
        <v>44064.291400462964</v>
      </c>
      <c r="D151" s="72">
        <v>44067</v>
      </c>
      <c r="E151" s="70" t="s">
        <v>118</v>
      </c>
      <c r="F151" s="70" t="s">
        <v>118</v>
      </c>
      <c r="G151" s="70" t="s">
        <v>82</v>
      </c>
      <c r="H151" s="70">
        <v>-400000</v>
      </c>
      <c r="I151" s="70" t="s">
        <v>22</v>
      </c>
      <c r="J151" s="70">
        <v>475040</v>
      </c>
      <c r="K151" s="70" t="s">
        <v>17</v>
      </c>
      <c r="L151" s="70">
        <v>1.1876</v>
      </c>
      <c r="M151" s="70" t="s">
        <v>83</v>
      </c>
      <c r="N151" s="70" t="s">
        <v>115</v>
      </c>
      <c r="O151" s="70" t="s">
        <v>92</v>
      </c>
      <c r="P151" s="70">
        <v>151792.43307851601</v>
      </c>
      <c r="Q151" s="70">
        <v>0</v>
      </c>
      <c r="R151" s="70">
        <v>151792.43307851601</v>
      </c>
      <c r="S151" s="56"/>
    </row>
    <row r="152" spans="1:19" ht="15" customHeight="1" x14ac:dyDescent="0.25">
      <c r="A152" s="70">
        <v>8813491</v>
      </c>
      <c r="B152" s="70" t="s">
        <v>93</v>
      </c>
      <c r="C152" s="71">
        <v>44064.279687499999</v>
      </c>
      <c r="D152" s="72">
        <v>44067</v>
      </c>
      <c r="E152" s="70" t="s">
        <v>140</v>
      </c>
      <c r="F152" s="70" t="s">
        <v>140</v>
      </c>
      <c r="G152" s="70" t="s">
        <v>82</v>
      </c>
      <c r="H152" s="70">
        <v>-16920</v>
      </c>
      <c r="I152" s="70" t="s">
        <v>17</v>
      </c>
      <c r="J152" s="70">
        <v>675108</v>
      </c>
      <c r="K152" s="70" t="s">
        <v>18</v>
      </c>
      <c r="L152" s="70">
        <v>39.9</v>
      </c>
      <c r="M152" s="70" t="s">
        <v>83</v>
      </c>
      <c r="N152" s="70" t="s">
        <v>106</v>
      </c>
      <c r="O152" s="70" t="s">
        <v>95</v>
      </c>
      <c r="P152" s="70">
        <v>831.44829935219605</v>
      </c>
      <c r="Q152" s="70">
        <v>0</v>
      </c>
      <c r="R152" s="70">
        <v>831.44829935219605</v>
      </c>
      <c r="S152" s="56"/>
    </row>
    <row r="153" spans="1:19" ht="15" customHeight="1" x14ac:dyDescent="0.25">
      <c r="A153" s="70">
        <v>8813439</v>
      </c>
      <c r="B153" s="70" t="s">
        <v>93</v>
      </c>
      <c r="C153" s="71">
        <v>44064.272824074076</v>
      </c>
      <c r="D153" s="72">
        <v>44068</v>
      </c>
      <c r="E153" s="70" t="s">
        <v>94</v>
      </c>
      <c r="F153" s="70"/>
      <c r="G153" s="70" t="s">
        <v>82</v>
      </c>
      <c r="H153" s="70">
        <v>-100000</v>
      </c>
      <c r="I153" s="70" t="s">
        <v>22</v>
      </c>
      <c r="J153" s="70">
        <v>118708</v>
      </c>
      <c r="K153" s="70" t="s">
        <v>17</v>
      </c>
      <c r="L153" s="70">
        <v>1.1870799999999999</v>
      </c>
      <c r="M153" s="70" t="s">
        <v>90</v>
      </c>
      <c r="N153" s="70" t="s">
        <v>87</v>
      </c>
      <c r="O153" s="70" t="s">
        <v>85</v>
      </c>
      <c r="P153" s="70">
        <v>35781.974309998601</v>
      </c>
      <c r="Q153" s="70">
        <v>0</v>
      </c>
      <c r="R153" s="70">
        <v>35781.974309998601</v>
      </c>
      <c r="S153" s="56"/>
    </row>
    <row r="154" spans="1:19" ht="15" customHeight="1" x14ac:dyDescent="0.25">
      <c r="A154" s="70">
        <v>8813405</v>
      </c>
      <c r="B154" s="70" t="s">
        <v>93</v>
      </c>
      <c r="C154" s="71">
        <v>44064.26734953704</v>
      </c>
      <c r="D154" s="72">
        <v>44067</v>
      </c>
      <c r="E154" s="70" t="s">
        <v>354</v>
      </c>
      <c r="F154" s="70" t="s">
        <v>354</v>
      </c>
      <c r="G154" s="70" t="s">
        <v>82</v>
      </c>
      <c r="H154" s="70">
        <v>-141864.75</v>
      </c>
      <c r="I154" s="70" t="s">
        <v>24</v>
      </c>
      <c r="J154" s="70">
        <v>4163730.41</v>
      </c>
      <c r="K154" s="70" t="s">
        <v>18</v>
      </c>
      <c r="L154" s="70">
        <v>29.35</v>
      </c>
      <c r="M154" s="70" t="s">
        <v>108</v>
      </c>
      <c r="N154" s="70" t="s">
        <v>117</v>
      </c>
      <c r="O154" s="70" t="s">
        <v>95</v>
      </c>
      <c r="P154" s="70">
        <v>38227.0606505787</v>
      </c>
      <c r="Q154" s="70">
        <v>0</v>
      </c>
      <c r="R154" s="70">
        <v>38227.0606505787</v>
      </c>
      <c r="S154" s="56"/>
    </row>
    <row r="155" spans="1:19" ht="15" customHeight="1" x14ac:dyDescent="0.25">
      <c r="A155" s="70">
        <v>8813320</v>
      </c>
      <c r="B155" s="70" t="s">
        <v>93</v>
      </c>
      <c r="C155" s="71">
        <v>44064.251608796294</v>
      </c>
      <c r="D155" s="72">
        <v>44068</v>
      </c>
      <c r="E155" s="70" t="s">
        <v>94</v>
      </c>
      <c r="F155" s="70"/>
      <c r="G155" s="70" t="s">
        <v>82</v>
      </c>
      <c r="H155" s="70">
        <v>-50000</v>
      </c>
      <c r="I155" s="70" t="s">
        <v>25</v>
      </c>
      <c r="J155" s="70">
        <v>66179</v>
      </c>
      <c r="K155" s="70" t="s">
        <v>17</v>
      </c>
      <c r="L155" s="70">
        <v>1.32358</v>
      </c>
      <c r="M155" s="70" t="s">
        <v>90</v>
      </c>
      <c r="N155" s="70" t="s">
        <v>87</v>
      </c>
      <c r="O155" s="70" t="s">
        <v>85</v>
      </c>
      <c r="P155" s="70">
        <v>23768.315897454999</v>
      </c>
      <c r="Q155" s="70">
        <v>0</v>
      </c>
      <c r="R155" s="70">
        <v>23768.315897454999</v>
      </c>
      <c r="S155" s="56"/>
    </row>
    <row r="156" spans="1:19" ht="15" customHeight="1" x14ac:dyDescent="0.25">
      <c r="A156" s="70">
        <v>8813308</v>
      </c>
      <c r="B156" s="70" t="s">
        <v>93</v>
      </c>
      <c r="C156" s="71">
        <v>44064.245555555557</v>
      </c>
      <c r="D156" s="72">
        <v>44068</v>
      </c>
      <c r="E156" s="70" t="s">
        <v>356</v>
      </c>
      <c r="F156" s="70" t="s">
        <v>356</v>
      </c>
      <c r="G156" s="70" t="s">
        <v>86</v>
      </c>
      <c r="H156" s="70">
        <v>50000</v>
      </c>
      <c r="I156" s="70" t="s">
        <v>25</v>
      </c>
      <c r="J156" s="70">
        <v>-2627500</v>
      </c>
      <c r="K156" s="70" t="s">
        <v>18</v>
      </c>
      <c r="L156" s="70">
        <v>52.55</v>
      </c>
      <c r="M156" s="70" t="s">
        <v>108</v>
      </c>
      <c r="N156" s="70" t="s">
        <v>115</v>
      </c>
      <c r="O156" s="70" t="s">
        <v>92</v>
      </c>
      <c r="P156" s="70">
        <v>-13887.7394058299</v>
      </c>
      <c r="Q156" s="70">
        <v>0</v>
      </c>
      <c r="R156" s="70">
        <v>-13887.7394058299</v>
      </c>
      <c r="S156" s="56"/>
    </row>
    <row r="157" spans="1:19" x14ac:dyDescent="0.25">
      <c r="A157" s="70">
        <v>8813305</v>
      </c>
      <c r="B157" s="70" t="s">
        <v>93</v>
      </c>
      <c r="C157" s="71">
        <v>44064.244710648149</v>
      </c>
      <c r="D157" s="72">
        <v>44068</v>
      </c>
      <c r="E157" s="70" t="s">
        <v>356</v>
      </c>
      <c r="F157" s="70" t="s">
        <v>356</v>
      </c>
      <c r="G157" s="70" t="s">
        <v>86</v>
      </c>
      <c r="H157" s="70">
        <v>100000</v>
      </c>
      <c r="I157" s="70" t="s">
        <v>22</v>
      </c>
      <c r="J157" s="70">
        <v>-4712000</v>
      </c>
      <c r="K157" s="70" t="s">
        <v>18</v>
      </c>
      <c r="L157" s="70">
        <v>47.12</v>
      </c>
      <c r="M157" s="70" t="s">
        <v>108</v>
      </c>
      <c r="N157" s="70" t="s">
        <v>115</v>
      </c>
      <c r="O157" s="70" t="s">
        <v>92</v>
      </c>
      <c r="P157" s="70">
        <v>-17003.886946770399</v>
      </c>
      <c r="Q157" s="70">
        <v>0</v>
      </c>
      <c r="R157" s="70">
        <v>-17003.886946770399</v>
      </c>
      <c r="S157" s="56"/>
    </row>
    <row r="158" spans="1:19" ht="15" customHeight="1" x14ac:dyDescent="0.25">
      <c r="A158" s="70">
        <v>8811830</v>
      </c>
      <c r="B158" s="70" t="s">
        <v>93</v>
      </c>
      <c r="C158" s="71">
        <v>44063.552766203706</v>
      </c>
      <c r="D158" s="72">
        <v>44067</v>
      </c>
      <c r="E158" s="70" t="s">
        <v>94</v>
      </c>
      <c r="F158" s="70"/>
      <c r="G158" s="70" t="s">
        <v>82</v>
      </c>
      <c r="H158" s="70">
        <v>-4617.7</v>
      </c>
      <c r="I158" s="70" t="s">
        <v>17</v>
      </c>
      <c r="J158" s="70">
        <v>80000</v>
      </c>
      <c r="K158" s="70" t="s">
        <v>20</v>
      </c>
      <c r="L158" s="70">
        <v>17.324639999999999</v>
      </c>
      <c r="M158" s="70" t="s">
        <v>90</v>
      </c>
      <c r="N158" s="70" t="s">
        <v>91</v>
      </c>
      <c r="O158" s="70" t="s">
        <v>85</v>
      </c>
      <c r="P158" s="70">
        <v>1032.9685747051001</v>
      </c>
      <c r="Q158" s="70">
        <v>0</v>
      </c>
      <c r="R158" s="70">
        <v>1032.9685747051001</v>
      </c>
      <c r="S158" s="56"/>
    </row>
    <row r="159" spans="1:19" ht="15" customHeight="1" x14ac:dyDescent="0.25">
      <c r="A159" s="70">
        <v>8811764</v>
      </c>
      <c r="B159" s="70" t="s">
        <v>93</v>
      </c>
      <c r="C159" s="71">
        <v>44063.547673611109</v>
      </c>
      <c r="D159" s="72">
        <v>44067</v>
      </c>
      <c r="E159" s="70" t="s">
        <v>133</v>
      </c>
      <c r="F159" s="70"/>
      <c r="G159" s="70" t="s">
        <v>82</v>
      </c>
      <c r="H159" s="70">
        <v>-2000000</v>
      </c>
      <c r="I159" s="70" t="s">
        <v>22</v>
      </c>
      <c r="J159" s="70">
        <v>2365380</v>
      </c>
      <c r="K159" s="70" t="s">
        <v>17</v>
      </c>
      <c r="L159" s="70">
        <v>1.18269</v>
      </c>
      <c r="M159" s="70" t="s">
        <v>90</v>
      </c>
      <c r="N159" s="70" t="s">
        <v>91</v>
      </c>
      <c r="O159" s="70" t="s">
        <v>85</v>
      </c>
      <c r="P159" s="70">
        <v>367670.51274490397</v>
      </c>
      <c r="Q159" s="70">
        <v>0</v>
      </c>
      <c r="R159" s="70">
        <v>367670.51274490397</v>
      </c>
      <c r="S159" s="56"/>
    </row>
    <row r="160" spans="1:19" ht="15" customHeight="1" x14ac:dyDescent="0.25">
      <c r="A160" s="70">
        <v>8811762</v>
      </c>
      <c r="B160" s="70" t="s">
        <v>93</v>
      </c>
      <c r="C160" s="71">
        <v>44063.547384259262</v>
      </c>
      <c r="D160" s="72">
        <v>44067</v>
      </c>
      <c r="E160" s="70" t="s">
        <v>133</v>
      </c>
      <c r="F160" s="70"/>
      <c r="G160" s="70" t="s">
        <v>86</v>
      </c>
      <c r="H160" s="70">
        <v>2000000</v>
      </c>
      <c r="I160" s="70" t="s">
        <v>22</v>
      </c>
      <c r="J160" s="70">
        <v>-2371000</v>
      </c>
      <c r="K160" s="70" t="s">
        <v>17</v>
      </c>
      <c r="L160" s="70">
        <v>1.1855</v>
      </c>
      <c r="M160" s="70" t="s">
        <v>90</v>
      </c>
      <c r="N160" s="70" t="s">
        <v>91</v>
      </c>
      <c r="O160" s="70" t="s">
        <v>85</v>
      </c>
      <c r="P160" s="70">
        <v>-591607.28340479697</v>
      </c>
      <c r="Q160" s="70">
        <v>0</v>
      </c>
      <c r="R160" s="70">
        <v>-591607.28340479697</v>
      </c>
      <c r="S160" s="56"/>
    </row>
    <row r="161" spans="1:19" ht="15" customHeight="1" x14ac:dyDescent="0.25">
      <c r="A161" s="70">
        <v>8811747</v>
      </c>
      <c r="B161" s="70" t="s">
        <v>93</v>
      </c>
      <c r="C161" s="71">
        <v>44063.546400462961</v>
      </c>
      <c r="D161" s="72">
        <v>44067</v>
      </c>
      <c r="E161" s="70" t="s">
        <v>133</v>
      </c>
      <c r="F161" s="70"/>
      <c r="G161" s="70" t="s">
        <v>86</v>
      </c>
      <c r="H161" s="70">
        <v>1000000</v>
      </c>
      <c r="I161" s="70" t="s">
        <v>17</v>
      </c>
      <c r="J161" s="70">
        <v>-17275830</v>
      </c>
      <c r="K161" s="70" t="s">
        <v>20</v>
      </c>
      <c r="L161" s="70">
        <v>17.275829999999999</v>
      </c>
      <c r="M161" s="70" t="s">
        <v>90</v>
      </c>
      <c r="N161" s="70" t="s">
        <v>91</v>
      </c>
      <c r="O161" s="70" t="s">
        <v>85</v>
      </c>
      <c r="P161" s="70">
        <v>-110800.230449133</v>
      </c>
      <c r="Q161" s="70">
        <v>0</v>
      </c>
      <c r="R161" s="70">
        <v>-110800.230449133</v>
      </c>
      <c r="S161" s="56"/>
    </row>
    <row r="162" spans="1:19" ht="15" customHeight="1" x14ac:dyDescent="0.25">
      <c r="A162" s="70">
        <v>8811286</v>
      </c>
      <c r="B162" s="70" t="s">
        <v>93</v>
      </c>
      <c r="C162" s="71">
        <v>44063.512372685182</v>
      </c>
      <c r="D162" s="72">
        <v>44067</v>
      </c>
      <c r="E162" s="70" t="s">
        <v>94</v>
      </c>
      <c r="F162" s="70"/>
      <c r="G162" s="70" t="s">
        <v>86</v>
      </c>
      <c r="H162" s="70">
        <v>6000</v>
      </c>
      <c r="I162" s="70" t="s">
        <v>21</v>
      </c>
      <c r="J162" s="70">
        <v>-4295.76</v>
      </c>
      <c r="K162" s="70" t="s">
        <v>17</v>
      </c>
      <c r="L162" s="70">
        <v>0.71596000000000004</v>
      </c>
      <c r="M162" s="70" t="s">
        <v>90</v>
      </c>
      <c r="N162" s="70" t="s">
        <v>91</v>
      </c>
      <c r="O162" s="70" t="s">
        <v>85</v>
      </c>
      <c r="P162" s="70">
        <v>152.47181575431</v>
      </c>
      <c r="Q162" s="70">
        <v>0</v>
      </c>
      <c r="R162" s="70">
        <v>152.47181575431</v>
      </c>
      <c r="S162" s="56"/>
    </row>
    <row r="163" spans="1:19" ht="15" customHeight="1" x14ac:dyDescent="0.25">
      <c r="A163" s="70">
        <v>8811282</v>
      </c>
      <c r="B163" s="70" t="s">
        <v>93</v>
      </c>
      <c r="C163" s="71">
        <v>44063.512152777781</v>
      </c>
      <c r="D163" s="72">
        <v>44067</v>
      </c>
      <c r="E163" s="70" t="s">
        <v>94</v>
      </c>
      <c r="F163" s="70"/>
      <c r="G163" s="70" t="s">
        <v>82</v>
      </c>
      <c r="H163" s="70">
        <v>-1677.39</v>
      </c>
      <c r="I163" s="70" t="s">
        <v>17</v>
      </c>
      <c r="J163" s="70">
        <v>13000</v>
      </c>
      <c r="K163" s="70" t="s">
        <v>27</v>
      </c>
      <c r="L163" s="70">
        <v>7.7501499999999997</v>
      </c>
      <c r="M163" s="70" t="s">
        <v>90</v>
      </c>
      <c r="N163" s="70" t="s">
        <v>91</v>
      </c>
      <c r="O163" s="70" t="s">
        <v>85</v>
      </c>
      <c r="P163" s="70">
        <v>5.5459192012640397</v>
      </c>
      <c r="Q163" s="70">
        <v>0</v>
      </c>
      <c r="R163" s="70">
        <v>5.5459192012640397</v>
      </c>
      <c r="S163" s="56"/>
    </row>
    <row r="164" spans="1:19" ht="15" customHeight="1" x14ac:dyDescent="0.25">
      <c r="A164" s="70">
        <v>8811132</v>
      </c>
      <c r="B164" s="70" t="s">
        <v>93</v>
      </c>
      <c r="C164" s="71">
        <v>44063.504155092596</v>
      </c>
      <c r="D164" s="72">
        <v>44067</v>
      </c>
      <c r="E164" s="70" t="s">
        <v>94</v>
      </c>
      <c r="F164" s="70"/>
      <c r="G164" s="70" t="s">
        <v>86</v>
      </c>
      <c r="H164" s="70">
        <v>10000</v>
      </c>
      <c r="I164" s="70" t="s">
        <v>25</v>
      </c>
      <c r="J164" s="70">
        <v>-13143.6</v>
      </c>
      <c r="K164" s="70" t="s">
        <v>17</v>
      </c>
      <c r="L164" s="70">
        <v>1.31436</v>
      </c>
      <c r="M164" s="70" t="s">
        <v>90</v>
      </c>
      <c r="N164" s="70" t="s">
        <v>91</v>
      </c>
      <c r="O164" s="70" t="s">
        <v>85</v>
      </c>
      <c r="P164" s="70">
        <v>-1081.2867272041599</v>
      </c>
      <c r="Q164" s="70">
        <v>0</v>
      </c>
      <c r="R164" s="70">
        <v>-1081.2867272041599</v>
      </c>
      <c r="S164" s="56"/>
    </row>
    <row r="165" spans="1:19" ht="15" customHeight="1" x14ac:dyDescent="0.25">
      <c r="A165" s="70">
        <v>8811128</v>
      </c>
      <c r="B165" s="70" t="s">
        <v>93</v>
      </c>
      <c r="C165" s="71">
        <v>44063.50403935185</v>
      </c>
      <c r="D165" s="72">
        <v>44067</v>
      </c>
      <c r="E165" s="70" t="s">
        <v>94</v>
      </c>
      <c r="F165" s="70"/>
      <c r="G165" s="70" t="s">
        <v>82</v>
      </c>
      <c r="H165" s="70">
        <v>-70000</v>
      </c>
      <c r="I165" s="70" t="s">
        <v>22</v>
      </c>
      <c r="J165" s="70">
        <v>82938.100000000006</v>
      </c>
      <c r="K165" s="70" t="s">
        <v>17</v>
      </c>
      <c r="L165" s="70">
        <v>1.18483</v>
      </c>
      <c r="M165" s="70" t="s">
        <v>90</v>
      </c>
      <c r="N165" s="70" t="s">
        <v>91</v>
      </c>
      <c r="O165" s="70" t="s">
        <v>85</v>
      </c>
      <c r="P165" s="70">
        <v>18837.458736970599</v>
      </c>
      <c r="Q165" s="70">
        <v>0</v>
      </c>
      <c r="R165" s="70">
        <v>18837.458736970599</v>
      </c>
      <c r="S165" s="56"/>
    </row>
    <row r="166" spans="1:19" ht="15" customHeight="1" x14ac:dyDescent="0.25">
      <c r="A166" s="70">
        <v>8811119</v>
      </c>
      <c r="B166" s="70" t="s">
        <v>93</v>
      </c>
      <c r="C166" s="71">
        <v>44063.502916666665</v>
      </c>
      <c r="D166" s="72">
        <v>44067</v>
      </c>
      <c r="E166" s="70" t="s">
        <v>94</v>
      </c>
      <c r="F166" s="70"/>
      <c r="G166" s="70" t="s">
        <v>86</v>
      </c>
      <c r="H166" s="70">
        <v>3431.63</v>
      </c>
      <c r="I166" s="70" t="s">
        <v>17</v>
      </c>
      <c r="J166" s="70">
        <v>-30000</v>
      </c>
      <c r="K166" s="70" t="s">
        <v>55</v>
      </c>
      <c r="L166" s="70">
        <v>8.7421900000000008</v>
      </c>
      <c r="M166" s="70" t="s">
        <v>90</v>
      </c>
      <c r="N166" s="70" t="s">
        <v>91</v>
      </c>
      <c r="O166" s="70" t="s">
        <v>85</v>
      </c>
      <c r="P166" s="70">
        <v>834.29856878993496</v>
      </c>
      <c r="Q166" s="70">
        <v>0</v>
      </c>
      <c r="R166" s="70">
        <v>834.29856878993496</v>
      </c>
      <c r="S166" s="56"/>
    </row>
    <row r="167" spans="1:19" ht="15" customHeight="1" x14ac:dyDescent="0.25">
      <c r="A167" s="70">
        <v>8811111</v>
      </c>
      <c r="B167" s="70" t="s">
        <v>93</v>
      </c>
      <c r="C167" s="71">
        <v>44063.502534722225</v>
      </c>
      <c r="D167" s="72">
        <v>44067</v>
      </c>
      <c r="E167" s="70" t="s">
        <v>94</v>
      </c>
      <c r="F167" s="70"/>
      <c r="G167" s="70" t="s">
        <v>86</v>
      </c>
      <c r="H167" s="70">
        <v>2000</v>
      </c>
      <c r="I167" s="70" t="s">
        <v>21</v>
      </c>
      <c r="J167" s="70">
        <v>-1432.16</v>
      </c>
      <c r="K167" s="70" t="s">
        <v>17</v>
      </c>
      <c r="L167" s="70">
        <v>0.71608000000000005</v>
      </c>
      <c r="M167" s="70" t="s">
        <v>90</v>
      </c>
      <c r="N167" s="70" t="s">
        <v>91</v>
      </c>
      <c r="O167" s="70" t="s">
        <v>85</v>
      </c>
      <c r="P167" s="70">
        <v>41.2608024711881</v>
      </c>
      <c r="Q167" s="70">
        <v>0</v>
      </c>
      <c r="R167" s="70">
        <v>41.2608024711881</v>
      </c>
      <c r="S167" s="56"/>
    </row>
    <row r="168" spans="1:19" ht="15" customHeight="1" x14ac:dyDescent="0.25">
      <c r="A168" s="70">
        <v>8810965</v>
      </c>
      <c r="B168" s="70" t="s">
        <v>93</v>
      </c>
      <c r="C168" s="71">
        <v>44063.49486111111</v>
      </c>
      <c r="D168" s="72">
        <v>44067</v>
      </c>
      <c r="E168" s="70" t="s">
        <v>114</v>
      </c>
      <c r="F168" s="70" t="s">
        <v>114</v>
      </c>
      <c r="G168" s="70" t="s">
        <v>82</v>
      </c>
      <c r="H168" s="70">
        <v>-37808.9</v>
      </c>
      <c r="I168" s="70" t="s">
        <v>17</v>
      </c>
      <c r="J168" s="70">
        <v>1504416.13</v>
      </c>
      <c r="K168" s="70" t="s">
        <v>18</v>
      </c>
      <c r="L168" s="70">
        <v>39.79</v>
      </c>
      <c r="M168" s="70" t="s">
        <v>83</v>
      </c>
      <c r="N168" s="70" t="s">
        <v>115</v>
      </c>
      <c r="O168" s="70" t="s">
        <v>95</v>
      </c>
      <c r="P168" s="70">
        <v>-2300.5869304893999</v>
      </c>
      <c r="Q168" s="70">
        <v>0</v>
      </c>
      <c r="R168" s="70">
        <v>-2300.5869304893999</v>
      </c>
      <c r="S168" s="56"/>
    </row>
    <row r="169" spans="1:19" ht="15" customHeight="1" x14ac:dyDescent="0.25">
      <c r="A169" s="70">
        <v>8810936</v>
      </c>
      <c r="B169" s="70" t="s">
        <v>93</v>
      </c>
      <c r="C169" s="71">
        <v>44063.492337962962</v>
      </c>
      <c r="D169" s="72">
        <v>44067</v>
      </c>
      <c r="E169" s="70" t="s">
        <v>96</v>
      </c>
      <c r="F169" s="70"/>
      <c r="G169" s="70" t="s">
        <v>82</v>
      </c>
      <c r="H169" s="70">
        <v>-1000000</v>
      </c>
      <c r="I169" s="70" t="s">
        <v>17</v>
      </c>
      <c r="J169" s="70">
        <v>17197000</v>
      </c>
      <c r="K169" s="70" t="s">
        <v>20</v>
      </c>
      <c r="L169" s="70">
        <v>17.196999999999999</v>
      </c>
      <c r="M169" s="70" t="s">
        <v>90</v>
      </c>
      <c r="N169" s="70" t="s">
        <v>91</v>
      </c>
      <c r="O169" s="70" t="s">
        <v>85</v>
      </c>
      <c r="P169" s="70">
        <v>-71525.373094983399</v>
      </c>
      <c r="Q169" s="70">
        <v>0</v>
      </c>
      <c r="R169" s="70">
        <v>-71525.373094983399</v>
      </c>
      <c r="S169" s="56"/>
    </row>
    <row r="170" spans="1:19" ht="15" customHeight="1" x14ac:dyDescent="0.25">
      <c r="A170" s="70">
        <v>8810490</v>
      </c>
      <c r="B170" s="70" t="s">
        <v>93</v>
      </c>
      <c r="C170" s="71">
        <v>44063.454189814816</v>
      </c>
      <c r="D170" s="72">
        <v>44067</v>
      </c>
      <c r="E170" s="70" t="s">
        <v>136</v>
      </c>
      <c r="F170" s="70" t="s">
        <v>136</v>
      </c>
      <c r="G170" s="70" t="s">
        <v>82</v>
      </c>
      <c r="H170" s="70">
        <v>-5824.18</v>
      </c>
      <c r="I170" s="70" t="s">
        <v>20</v>
      </c>
      <c r="J170" s="70">
        <v>13628.58</v>
      </c>
      <c r="K170" s="70" t="s">
        <v>18</v>
      </c>
      <c r="L170" s="70">
        <v>2.34</v>
      </c>
      <c r="M170" s="70" t="s">
        <v>83</v>
      </c>
      <c r="N170" s="70" t="s">
        <v>89</v>
      </c>
      <c r="O170" s="70" t="s">
        <v>95</v>
      </c>
      <c r="P170" s="70">
        <v>156.333254561465</v>
      </c>
      <c r="Q170" s="70">
        <v>0</v>
      </c>
      <c r="R170" s="70">
        <v>156.333254561465</v>
      </c>
      <c r="S170" s="56"/>
    </row>
    <row r="171" spans="1:19" ht="15" customHeight="1" x14ac:dyDescent="0.25">
      <c r="A171" s="70">
        <v>8810477</v>
      </c>
      <c r="B171" s="70" t="s">
        <v>93</v>
      </c>
      <c r="C171" s="71">
        <v>44063.453541666669</v>
      </c>
      <c r="D171" s="72">
        <v>44067</v>
      </c>
      <c r="E171" s="70" t="s">
        <v>136</v>
      </c>
      <c r="F171" s="70" t="s">
        <v>136</v>
      </c>
      <c r="G171" s="70" t="s">
        <v>82</v>
      </c>
      <c r="H171" s="70">
        <v>-56876.43</v>
      </c>
      <c r="I171" s="70" t="s">
        <v>17</v>
      </c>
      <c r="J171" s="70">
        <v>2263113</v>
      </c>
      <c r="K171" s="70" t="s">
        <v>18</v>
      </c>
      <c r="L171" s="70">
        <v>39.79</v>
      </c>
      <c r="M171" s="70" t="s">
        <v>83</v>
      </c>
      <c r="N171" s="70" t="s">
        <v>89</v>
      </c>
      <c r="O171" s="70" t="s">
        <v>95</v>
      </c>
      <c r="P171" s="70">
        <v>-3460.9516278053602</v>
      </c>
      <c r="Q171" s="70">
        <v>0</v>
      </c>
      <c r="R171" s="70">
        <v>-3460.9516278053602</v>
      </c>
      <c r="S171" s="56"/>
    </row>
    <row r="172" spans="1:19" ht="15" customHeight="1" x14ac:dyDescent="0.25">
      <c r="A172" s="70">
        <v>8810460</v>
      </c>
      <c r="B172" s="70" t="s">
        <v>93</v>
      </c>
      <c r="C172" s="71">
        <v>44063.452604166669</v>
      </c>
      <c r="D172" s="72">
        <v>44067</v>
      </c>
      <c r="E172" s="70" t="s">
        <v>136</v>
      </c>
      <c r="F172" s="70" t="s">
        <v>136</v>
      </c>
      <c r="G172" s="70" t="s">
        <v>82</v>
      </c>
      <c r="H172" s="70">
        <v>-124800</v>
      </c>
      <c r="I172" s="70" t="s">
        <v>17</v>
      </c>
      <c r="J172" s="70">
        <v>4965792</v>
      </c>
      <c r="K172" s="70" t="s">
        <v>18</v>
      </c>
      <c r="L172" s="70">
        <v>39.79</v>
      </c>
      <c r="M172" s="70" t="s">
        <v>83</v>
      </c>
      <c r="N172" s="70" t="s">
        <v>89</v>
      </c>
      <c r="O172" s="70" t="s">
        <v>95</v>
      </c>
      <c r="P172" s="70">
        <v>-7593.7973371092203</v>
      </c>
      <c r="Q172" s="70">
        <v>0</v>
      </c>
      <c r="R172" s="70">
        <v>-7593.7973371092203</v>
      </c>
      <c r="S172" s="56"/>
    </row>
    <row r="173" spans="1:19" ht="15" customHeight="1" x14ac:dyDescent="0.25">
      <c r="A173" s="70">
        <v>8810299</v>
      </c>
      <c r="B173" s="70" t="s">
        <v>93</v>
      </c>
      <c r="C173" s="71">
        <v>44063.437175925923</v>
      </c>
      <c r="D173" s="72">
        <v>44067</v>
      </c>
      <c r="E173" s="70" t="s">
        <v>137</v>
      </c>
      <c r="F173" s="70" t="s">
        <v>137</v>
      </c>
      <c r="G173" s="70" t="s">
        <v>82</v>
      </c>
      <c r="H173" s="70">
        <v>-1000000</v>
      </c>
      <c r="I173" s="70" t="s">
        <v>17</v>
      </c>
      <c r="J173" s="70">
        <v>39800000</v>
      </c>
      <c r="K173" s="70" t="s">
        <v>18</v>
      </c>
      <c r="L173" s="70">
        <v>39.799999999999997</v>
      </c>
      <c r="M173" s="70" t="s">
        <v>83</v>
      </c>
      <c r="N173" s="70" t="s">
        <v>115</v>
      </c>
      <c r="O173" s="70" t="s">
        <v>85</v>
      </c>
      <c r="P173" s="70">
        <v>-50848.852756269298</v>
      </c>
      <c r="Q173" s="70">
        <v>0</v>
      </c>
      <c r="R173" s="70">
        <v>-50848.852756269298</v>
      </c>
      <c r="S173" s="56"/>
    </row>
    <row r="174" spans="1:19" ht="15" customHeight="1" x14ac:dyDescent="0.25">
      <c r="A174" s="70">
        <v>8809220</v>
      </c>
      <c r="B174" s="70" t="s">
        <v>93</v>
      </c>
      <c r="C174" s="71">
        <v>44063.361759259256</v>
      </c>
      <c r="D174" s="72">
        <v>44067</v>
      </c>
      <c r="E174" s="70" t="s">
        <v>130</v>
      </c>
      <c r="F174" s="70"/>
      <c r="G174" s="70" t="s">
        <v>86</v>
      </c>
      <c r="H174" s="70">
        <v>2000000</v>
      </c>
      <c r="I174" s="70" t="s">
        <v>22</v>
      </c>
      <c r="J174" s="70">
        <v>-2365380</v>
      </c>
      <c r="K174" s="70" t="s">
        <v>17</v>
      </c>
      <c r="L174" s="70">
        <v>1.18269</v>
      </c>
      <c r="M174" s="70" t="s">
        <v>90</v>
      </c>
      <c r="N174" s="70" t="s">
        <v>131</v>
      </c>
      <c r="O174" s="70" t="s">
        <v>85</v>
      </c>
      <c r="P174" s="70">
        <v>-367670.51274490397</v>
      </c>
      <c r="Q174" s="70">
        <v>0</v>
      </c>
      <c r="R174" s="70">
        <v>-367670.51274490397</v>
      </c>
      <c r="S174" s="56"/>
    </row>
    <row r="175" spans="1:19" ht="15" customHeight="1" x14ac:dyDescent="0.25">
      <c r="A175" s="70">
        <v>8809168</v>
      </c>
      <c r="B175" s="70" t="s">
        <v>93</v>
      </c>
      <c r="C175" s="71">
        <v>44063.355729166666</v>
      </c>
      <c r="D175" s="72">
        <v>44067</v>
      </c>
      <c r="E175" s="70" t="s">
        <v>94</v>
      </c>
      <c r="F175" s="70"/>
      <c r="G175" s="70" t="s">
        <v>86</v>
      </c>
      <c r="H175" s="70">
        <v>92000</v>
      </c>
      <c r="I175" s="70" t="s">
        <v>22</v>
      </c>
      <c r="J175" s="70">
        <v>-108715.48</v>
      </c>
      <c r="K175" s="70" t="s">
        <v>17</v>
      </c>
      <c r="L175" s="70">
        <v>1.1816899999999999</v>
      </c>
      <c r="M175" s="70" t="s">
        <v>90</v>
      </c>
      <c r="N175" s="70" t="s">
        <v>91</v>
      </c>
      <c r="O175" s="70" t="s">
        <v>85</v>
      </c>
      <c r="P175" s="70">
        <v>-13246.974742722699</v>
      </c>
      <c r="Q175" s="70">
        <v>0</v>
      </c>
      <c r="R175" s="70">
        <v>-13246.974742722699</v>
      </c>
      <c r="S175" s="56"/>
    </row>
    <row r="176" spans="1:19" ht="15" customHeight="1" x14ac:dyDescent="0.25">
      <c r="A176" s="70">
        <v>8809105</v>
      </c>
      <c r="B176" s="70" t="s">
        <v>93</v>
      </c>
      <c r="C176" s="71">
        <v>44063.351620370369</v>
      </c>
      <c r="D176" s="72">
        <v>44067</v>
      </c>
      <c r="E176" s="70" t="s">
        <v>94</v>
      </c>
      <c r="F176" s="70"/>
      <c r="G176" s="70" t="s">
        <v>82</v>
      </c>
      <c r="H176" s="70">
        <v>-25400.61</v>
      </c>
      <c r="I176" s="70" t="s">
        <v>17</v>
      </c>
      <c r="J176" s="70">
        <v>440000</v>
      </c>
      <c r="K176" s="70" t="s">
        <v>20</v>
      </c>
      <c r="L176" s="70">
        <v>17.322420000000001</v>
      </c>
      <c r="M176" s="70" t="s">
        <v>90</v>
      </c>
      <c r="N176" s="70" t="s">
        <v>91</v>
      </c>
      <c r="O176" s="70" t="s">
        <v>85</v>
      </c>
      <c r="P176" s="70">
        <v>5551.4278953349003</v>
      </c>
      <c r="Q176" s="70">
        <v>0</v>
      </c>
      <c r="R176" s="70">
        <v>5551.4278953349003</v>
      </c>
      <c r="S176" s="56"/>
    </row>
    <row r="177" spans="1:19" ht="15" customHeight="1" x14ac:dyDescent="0.25">
      <c r="A177" s="70">
        <v>8809103</v>
      </c>
      <c r="B177" s="70" t="s">
        <v>93</v>
      </c>
      <c r="C177" s="71">
        <v>44063.351331018515</v>
      </c>
      <c r="D177" s="72">
        <v>44067</v>
      </c>
      <c r="E177" s="70" t="s">
        <v>94</v>
      </c>
      <c r="F177" s="70"/>
      <c r="G177" s="70" t="s">
        <v>86</v>
      </c>
      <c r="H177" s="70">
        <v>35000</v>
      </c>
      <c r="I177" s="70" t="s">
        <v>25</v>
      </c>
      <c r="J177" s="70">
        <v>-45761.45</v>
      </c>
      <c r="K177" s="70" t="s">
        <v>17</v>
      </c>
      <c r="L177" s="70">
        <v>1.3074699999999999</v>
      </c>
      <c r="M177" s="70" t="s">
        <v>90</v>
      </c>
      <c r="N177" s="70" t="s">
        <v>91</v>
      </c>
      <c r="O177" s="70" t="s">
        <v>85</v>
      </c>
      <c r="P177" s="70">
        <v>5824.45592891867</v>
      </c>
      <c r="Q177" s="70">
        <v>0</v>
      </c>
      <c r="R177" s="70">
        <v>5824.45592891867</v>
      </c>
      <c r="S177" s="56"/>
    </row>
    <row r="178" spans="1:19" ht="15" customHeight="1" x14ac:dyDescent="0.25">
      <c r="A178" s="70">
        <v>8809098</v>
      </c>
      <c r="B178" s="70" t="s">
        <v>93</v>
      </c>
      <c r="C178" s="71">
        <v>44063.350844907407</v>
      </c>
      <c r="D178" s="72">
        <v>44067</v>
      </c>
      <c r="E178" s="70" t="s">
        <v>130</v>
      </c>
      <c r="F178" s="70"/>
      <c r="G178" s="70" t="s">
        <v>82</v>
      </c>
      <c r="H178" s="70">
        <v>-2000000</v>
      </c>
      <c r="I178" s="70" t="s">
        <v>22</v>
      </c>
      <c r="J178" s="70">
        <v>2371000</v>
      </c>
      <c r="K178" s="70" t="s">
        <v>17</v>
      </c>
      <c r="L178" s="70">
        <v>1.1855</v>
      </c>
      <c r="M178" s="70" t="s">
        <v>90</v>
      </c>
      <c r="N178" s="70" t="s">
        <v>131</v>
      </c>
      <c r="O178" s="70" t="s">
        <v>85</v>
      </c>
      <c r="P178" s="70">
        <v>591607.28340479697</v>
      </c>
      <c r="Q178" s="70">
        <v>0</v>
      </c>
      <c r="R178" s="70">
        <v>591607.28340479697</v>
      </c>
      <c r="S178" s="56"/>
    </row>
    <row r="179" spans="1:19" ht="15" customHeight="1" x14ac:dyDescent="0.25">
      <c r="A179" s="70">
        <v>8809097</v>
      </c>
      <c r="B179" s="70" t="s">
        <v>93</v>
      </c>
      <c r="C179" s="71">
        <v>44063.350821759261</v>
      </c>
      <c r="D179" s="72">
        <v>44067</v>
      </c>
      <c r="E179" s="70" t="s">
        <v>133</v>
      </c>
      <c r="F179" s="70"/>
      <c r="G179" s="70" t="s">
        <v>86</v>
      </c>
      <c r="H179" s="70">
        <v>400000</v>
      </c>
      <c r="I179" s="70" t="s">
        <v>22</v>
      </c>
      <c r="J179" s="70">
        <v>-473040</v>
      </c>
      <c r="K179" s="70" t="s">
        <v>17</v>
      </c>
      <c r="L179" s="70">
        <v>1.1826000000000001</v>
      </c>
      <c r="M179" s="70" t="s">
        <v>90</v>
      </c>
      <c r="N179" s="70" t="s">
        <v>91</v>
      </c>
      <c r="O179" s="70" t="s">
        <v>85</v>
      </c>
      <c r="P179" s="70">
        <v>-72099.632131941602</v>
      </c>
      <c r="Q179" s="70">
        <v>0</v>
      </c>
      <c r="R179" s="70">
        <v>-72099.632131941602</v>
      </c>
      <c r="S179" s="56"/>
    </row>
    <row r="180" spans="1:19" ht="15" customHeight="1" x14ac:dyDescent="0.25">
      <c r="A180" s="70">
        <v>8809067</v>
      </c>
      <c r="B180" s="70" t="s">
        <v>93</v>
      </c>
      <c r="C180" s="71">
        <v>44063.348506944443</v>
      </c>
      <c r="D180" s="72">
        <v>44067</v>
      </c>
      <c r="E180" s="70" t="s">
        <v>94</v>
      </c>
      <c r="F180" s="70"/>
      <c r="G180" s="70" t="s">
        <v>82</v>
      </c>
      <c r="H180" s="70">
        <v>-200000</v>
      </c>
      <c r="I180" s="70" t="s">
        <v>22</v>
      </c>
      <c r="J180" s="70">
        <v>236480</v>
      </c>
      <c r="K180" s="70" t="s">
        <v>17</v>
      </c>
      <c r="L180" s="70">
        <v>1.1823999999999999</v>
      </c>
      <c r="M180" s="70" t="s">
        <v>90</v>
      </c>
      <c r="N180" s="70" t="s">
        <v>91</v>
      </c>
      <c r="O180" s="70" t="s">
        <v>85</v>
      </c>
      <c r="P180" s="70">
        <v>34455.960047040098</v>
      </c>
      <c r="Q180" s="70">
        <v>0</v>
      </c>
      <c r="R180" s="70">
        <v>34455.960047040098</v>
      </c>
      <c r="S180" s="56"/>
    </row>
    <row r="181" spans="1:19" ht="15" customHeight="1" x14ac:dyDescent="0.25">
      <c r="A181" s="70">
        <v>8808962</v>
      </c>
      <c r="B181" s="70" t="s">
        <v>93</v>
      </c>
      <c r="C181" s="71">
        <v>44063.335486111115</v>
      </c>
      <c r="D181" s="72">
        <v>44067</v>
      </c>
      <c r="E181" s="70" t="s">
        <v>141</v>
      </c>
      <c r="F181" s="70" t="s">
        <v>141</v>
      </c>
      <c r="G181" s="70" t="s">
        <v>82</v>
      </c>
      <c r="H181" s="70">
        <v>-400000</v>
      </c>
      <c r="I181" s="70" t="s">
        <v>22</v>
      </c>
      <c r="J181" s="70">
        <v>18880000</v>
      </c>
      <c r="K181" s="70" t="s">
        <v>18</v>
      </c>
      <c r="L181" s="70">
        <v>47.2</v>
      </c>
      <c r="M181" s="70" t="s">
        <v>83</v>
      </c>
      <c r="N181" s="70" t="s">
        <v>106</v>
      </c>
      <c r="O181" s="70" t="s">
        <v>95</v>
      </c>
      <c r="P181" s="70">
        <v>101048.166208565</v>
      </c>
      <c r="Q181" s="70">
        <v>0</v>
      </c>
      <c r="R181" s="70">
        <v>101048.166208565</v>
      </c>
      <c r="S181" s="56"/>
    </row>
    <row r="182" spans="1:19" ht="15" customHeight="1" x14ac:dyDescent="0.25">
      <c r="A182" s="70">
        <v>8808961</v>
      </c>
      <c r="B182" s="70" t="s">
        <v>93</v>
      </c>
      <c r="C182" s="71">
        <v>44063.33520833333</v>
      </c>
      <c r="D182" s="72">
        <v>44067</v>
      </c>
      <c r="E182" s="70" t="s">
        <v>94</v>
      </c>
      <c r="F182" s="70"/>
      <c r="G182" s="70" t="s">
        <v>86</v>
      </c>
      <c r="H182" s="70">
        <v>200000</v>
      </c>
      <c r="I182" s="70" t="s">
        <v>22</v>
      </c>
      <c r="J182" s="70">
        <v>-237060</v>
      </c>
      <c r="K182" s="70" t="s">
        <v>17</v>
      </c>
      <c r="L182" s="70">
        <v>1.1853</v>
      </c>
      <c r="M182" s="70" t="s">
        <v>90</v>
      </c>
      <c r="N182" s="70" t="s">
        <v>87</v>
      </c>
      <c r="O182" s="70" t="s">
        <v>85</v>
      </c>
      <c r="P182" s="70">
        <v>-57566.8723215461</v>
      </c>
      <c r="Q182" s="70">
        <v>0</v>
      </c>
      <c r="R182" s="70">
        <v>-57566.8723215461</v>
      </c>
      <c r="S182" s="56"/>
    </row>
    <row r="183" spans="1:19" ht="15" customHeight="1" x14ac:dyDescent="0.25">
      <c r="A183" s="70">
        <v>8808941</v>
      </c>
      <c r="B183" s="70" t="s">
        <v>93</v>
      </c>
      <c r="C183" s="71">
        <v>44063.333923611113</v>
      </c>
      <c r="D183" s="72">
        <v>44067</v>
      </c>
      <c r="E183" s="70" t="s">
        <v>134</v>
      </c>
      <c r="F183" s="70" t="s">
        <v>134</v>
      </c>
      <c r="G183" s="70" t="s">
        <v>82</v>
      </c>
      <c r="H183" s="70">
        <v>-274283.86</v>
      </c>
      <c r="I183" s="70" t="s">
        <v>22</v>
      </c>
      <c r="J183" s="70">
        <v>12940712.51</v>
      </c>
      <c r="K183" s="70" t="s">
        <v>18</v>
      </c>
      <c r="L183" s="70">
        <v>47.18</v>
      </c>
      <c r="M183" s="70" t="s">
        <v>83</v>
      </c>
      <c r="N183" s="70" t="s">
        <v>106</v>
      </c>
      <c r="O183" s="70" t="s">
        <v>95</v>
      </c>
      <c r="P183" s="70">
        <v>63804.633809525498</v>
      </c>
      <c r="Q183" s="70">
        <v>0</v>
      </c>
      <c r="R183" s="70">
        <v>63804.633809525498</v>
      </c>
      <c r="S183" s="56"/>
    </row>
    <row r="184" spans="1:19" ht="15" customHeight="1" x14ac:dyDescent="0.25">
      <c r="A184" s="70">
        <v>8808940</v>
      </c>
      <c r="B184" s="70" t="s">
        <v>93</v>
      </c>
      <c r="C184" s="71">
        <v>44063.333993055552</v>
      </c>
      <c r="D184" s="72">
        <v>44067</v>
      </c>
      <c r="E184" s="70" t="s">
        <v>94</v>
      </c>
      <c r="F184" s="70"/>
      <c r="G184" s="70" t="s">
        <v>86</v>
      </c>
      <c r="H184" s="70">
        <v>74000</v>
      </c>
      <c r="I184" s="70" t="s">
        <v>22</v>
      </c>
      <c r="J184" s="70">
        <v>-87701.84</v>
      </c>
      <c r="K184" s="70" t="s">
        <v>17</v>
      </c>
      <c r="L184" s="70">
        <v>1.18516</v>
      </c>
      <c r="M184" s="70" t="s">
        <v>90</v>
      </c>
      <c r="N184" s="70" t="s">
        <v>87</v>
      </c>
      <c r="O184" s="70" t="s">
        <v>85</v>
      </c>
      <c r="P184" s="70">
        <v>-20886.934050069201</v>
      </c>
      <c r="Q184" s="70">
        <v>0</v>
      </c>
      <c r="R184" s="70">
        <v>-20886.934050069201</v>
      </c>
      <c r="S184" s="56"/>
    </row>
    <row r="185" spans="1:19" ht="15" customHeight="1" x14ac:dyDescent="0.25">
      <c r="A185" s="70">
        <v>8808569</v>
      </c>
      <c r="B185" s="70" t="s">
        <v>93</v>
      </c>
      <c r="C185" s="71">
        <v>44063.296643518515</v>
      </c>
      <c r="D185" s="72">
        <v>44067</v>
      </c>
      <c r="E185" s="70" t="s">
        <v>118</v>
      </c>
      <c r="F185" s="70" t="s">
        <v>118</v>
      </c>
      <c r="G185" s="70" t="s">
        <v>82</v>
      </c>
      <c r="H185" s="70">
        <v>-163200</v>
      </c>
      <c r="I185" s="70" t="s">
        <v>20</v>
      </c>
      <c r="J185" s="70">
        <v>378624</v>
      </c>
      <c r="K185" s="70" t="s">
        <v>18</v>
      </c>
      <c r="L185" s="70">
        <v>2.3199999999999998</v>
      </c>
      <c r="M185" s="70" t="s">
        <v>83</v>
      </c>
      <c r="N185" s="70" t="s">
        <v>106</v>
      </c>
      <c r="O185" s="70" t="s">
        <v>95</v>
      </c>
      <c r="P185" s="70">
        <v>1117.03006642486</v>
      </c>
      <c r="Q185" s="70">
        <v>0</v>
      </c>
      <c r="R185" s="70">
        <v>1117.03006642486</v>
      </c>
      <c r="S185" s="56"/>
    </row>
    <row r="186" spans="1:19" ht="15" customHeight="1" x14ac:dyDescent="0.25">
      <c r="A186" s="70">
        <v>8808307</v>
      </c>
      <c r="B186" s="70" t="s">
        <v>93</v>
      </c>
      <c r="C186" s="71">
        <v>44063.271249999998</v>
      </c>
      <c r="D186" s="72">
        <v>44067</v>
      </c>
      <c r="E186" s="70" t="s">
        <v>143</v>
      </c>
      <c r="F186" s="70" t="s">
        <v>143</v>
      </c>
      <c r="G186" s="70" t="s">
        <v>82</v>
      </c>
      <c r="H186" s="70">
        <v>-23857.05</v>
      </c>
      <c r="I186" s="70" t="s">
        <v>25</v>
      </c>
      <c r="J186" s="70">
        <v>1254880.83</v>
      </c>
      <c r="K186" s="70" t="s">
        <v>18</v>
      </c>
      <c r="L186" s="70">
        <v>52.6</v>
      </c>
      <c r="M186" s="70" t="s">
        <v>83</v>
      </c>
      <c r="N186" s="70" t="s">
        <v>125</v>
      </c>
      <c r="O186" s="70" t="s">
        <v>95</v>
      </c>
      <c r="P186" s="70">
        <v>7866.4980018611504</v>
      </c>
      <c r="Q186" s="70">
        <v>0</v>
      </c>
      <c r="R186" s="70">
        <v>7866.4980018611504</v>
      </c>
      <c r="S186" s="56"/>
    </row>
    <row r="187" spans="1:19" ht="15" customHeight="1" x14ac:dyDescent="0.25">
      <c r="A187" s="70">
        <v>8816103</v>
      </c>
      <c r="B187" s="70" t="s">
        <v>101</v>
      </c>
      <c r="C187" s="71">
        <v>44064.4997337963</v>
      </c>
      <c r="D187" s="72">
        <v>44088</v>
      </c>
      <c r="E187" s="70" t="s">
        <v>96</v>
      </c>
      <c r="F187" s="70"/>
      <c r="G187" s="70" t="s">
        <v>86</v>
      </c>
      <c r="H187" s="70">
        <v>109393.63</v>
      </c>
      <c r="I187" s="70" t="s">
        <v>17</v>
      </c>
      <c r="J187" s="70">
        <v>-150000</v>
      </c>
      <c r="K187" s="70" t="s">
        <v>24</v>
      </c>
      <c r="L187" s="70">
        <v>1.3711949999999999</v>
      </c>
      <c r="M187" s="70" t="s">
        <v>97</v>
      </c>
      <c r="N187" s="70" t="s">
        <v>87</v>
      </c>
      <c r="O187" s="70" t="s">
        <v>85</v>
      </c>
      <c r="P187" s="70">
        <v>4389.1487498506904</v>
      </c>
      <c r="Q187" s="70">
        <v>0</v>
      </c>
      <c r="R187" s="70">
        <v>4389.1487498506904</v>
      </c>
      <c r="S187" s="56"/>
    </row>
    <row r="188" spans="1:19" ht="15" customHeight="1" x14ac:dyDescent="0.25">
      <c r="A188" s="70">
        <v>8816102</v>
      </c>
      <c r="B188" s="70" t="s">
        <v>101</v>
      </c>
      <c r="C188" s="71">
        <v>44064.4997337963</v>
      </c>
      <c r="D188" s="72">
        <v>44067</v>
      </c>
      <c r="E188" s="70" t="s">
        <v>96</v>
      </c>
      <c r="F188" s="70"/>
      <c r="G188" s="70" t="s">
        <v>82</v>
      </c>
      <c r="H188" s="70">
        <v>-109442.96</v>
      </c>
      <c r="I188" s="70" t="s">
        <v>17</v>
      </c>
      <c r="J188" s="70">
        <v>150000</v>
      </c>
      <c r="K188" s="70" t="s">
        <v>24</v>
      </c>
      <c r="L188" s="70">
        <v>1.3705769999999999</v>
      </c>
      <c r="M188" s="70" t="s">
        <v>97</v>
      </c>
      <c r="N188" s="70" t="s">
        <v>87</v>
      </c>
      <c r="O188" s="70" t="s">
        <v>85</v>
      </c>
      <c r="P188" s="70">
        <v>680.72841828595801</v>
      </c>
      <c r="Q188" s="70">
        <v>0</v>
      </c>
      <c r="R188" s="70">
        <v>680.72841828595801</v>
      </c>
      <c r="S188" s="56"/>
    </row>
    <row r="189" spans="1:19" ht="15" customHeight="1" x14ac:dyDescent="0.25">
      <c r="A189" s="70">
        <v>8816091</v>
      </c>
      <c r="B189" s="70" t="s">
        <v>101</v>
      </c>
      <c r="C189" s="71">
        <v>44064.498993055553</v>
      </c>
      <c r="D189" s="72">
        <v>44088</v>
      </c>
      <c r="E189" s="70" t="s">
        <v>96</v>
      </c>
      <c r="F189" s="70"/>
      <c r="G189" s="70" t="s">
        <v>86</v>
      </c>
      <c r="H189" s="70">
        <v>272250.12</v>
      </c>
      <c r="I189" s="70" t="s">
        <v>17</v>
      </c>
      <c r="J189" s="70">
        <v>-1000000</v>
      </c>
      <c r="K189" s="70" t="s">
        <v>19</v>
      </c>
      <c r="L189" s="70">
        <v>3.6730930000000002</v>
      </c>
      <c r="M189" s="70" t="s">
        <v>97</v>
      </c>
      <c r="N189" s="70" t="s">
        <v>87</v>
      </c>
      <c r="O189" s="70" t="s">
        <v>85</v>
      </c>
      <c r="P189" s="70">
        <v>16634.357067568199</v>
      </c>
      <c r="Q189" s="70">
        <v>0</v>
      </c>
      <c r="R189" s="70">
        <v>16634.357067568199</v>
      </c>
      <c r="S189" s="56"/>
    </row>
    <row r="190" spans="1:19" ht="15" customHeight="1" x14ac:dyDescent="0.25">
      <c r="A190" s="70">
        <v>8816090</v>
      </c>
      <c r="B190" s="70" t="s">
        <v>101</v>
      </c>
      <c r="C190" s="71">
        <v>44064.498993055553</v>
      </c>
      <c r="D190" s="72">
        <v>44067</v>
      </c>
      <c r="E190" s="70" t="s">
        <v>96</v>
      </c>
      <c r="F190" s="70"/>
      <c r="G190" s="70" t="s">
        <v>82</v>
      </c>
      <c r="H190" s="70">
        <v>-272279.46999999997</v>
      </c>
      <c r="I190" s="70" t="s">
        <v>17</v>
      </c>
      <c r="J190" s="70">
        <v>1000000</v>
      </c>
      <c r="K190" s="70" t="s">
        <v>19</v>
      </c>
      <c r="L190" s="70">
        <v>3.6726969999999999</v>
      </c>
      <c r="M190" s="70" t="s">
        <v>97</v>
      </c>
      <c r="N190" s="70" t="s">
        <v>87</v>
      </c>
      <c r="O190" s="70" t="s">
        <v>85</v>
      </c>
      <c r="P190" s="70">
        <v>-304.17940159328299</v>
      </c>
      <c r="Q190" s="70">
        <v>0</v>
      </c>
      <c r="R190" s="70">
        <v>-304.17940159328299</v>
      </c>
      <c r="S190" s="56"/>
    </row>
    <row r="191" spans="1:19" ht="15" customHeight="1" x14ac:dyDescent="0.25">
      <c r="A191" s="70">
        <v>8816083</v>
      </c>
      <c r="B191" s="70" t="s">
        <v>101</v>
      </c>
      <c r="C191" s="71">
        <v>44064.498472222222</v>
      </c>
      <c r="D191" s="72">
        <v>44071</v>
      </c>
      <c r="E191" s="70" t="s">
        <v>96</v>
      </c>
      <c r="F191" s="70"/>
      <c r="G191" s="70" t="s">
        <v>82</v>
      </c>
      <c r="H191" s="70">
        <v>-15000000</v>
      </c>
      <c r="I191" s="70" t="s">
        <v>22</v>
      </c>
      <c r="J191" s="70">
        <v>17667735</v>
      </c>
      <c r="K191" s="70" t="s">
        <v>17</v>
      </c>
      <c r="L191" s="70">
        <v>1.1778489999999999</v>
      </c>
      <c r="M191" s="70" t="s">
        <v>97</v>
      </c>
      <c r="N191" s="70" t="s">
        <v>87</v>
      </c>
      <c r="O191" s="70" t="s">
        <v>85</v>
      </c>
      <c r="P191" s="70">
        <v>-194445.86564958101</v>
      </c>
      <c r="Q191" s="70">
        <v>0</v>
      </c>
      <c r="R191" s="70">
        <v>-194445.86564958101</v>
      </c>
      <c r="S191" s="56"/>
    </row>
    <row r="192" spans="1:19" ht="15" customHeight="1" x14ac:dyDescent="0.25">
      <c r="A192" s="70">
        <v>8815430</v>
      </c>
      <c r="B192" s="70" t="s">
        <v>101</v>
      </c>
      <c r="C192" s="71">
        <v>44064.467557870368</v>
      </c>
      <c r="D192" s="72">
        <v>44068</v>
      </c>
      <c r="E192" s="70" t="s">
        <v>132</v>
      </c>
      <c r="F192" s="70" t="s">
        <v>132</v>
      </c>
      <c r="G192" s="70" t="s">
        <v>82</v>
      </c>
      <c r="H192" s="70">
        <v>-1500000</v>
      </c>
      <c r="I192" s="70" t="s">
        <v>17</v>
      </c>
      <c r="J192" s="70">
        <v>59708850</v>
      </c>
      <c r="K192" s="70" t="s">
        <v>18</v>
      </c>
      <c r="L192" s="70">
        <v>39.805900000000001</v>
      </c>
      <c r="M192" s="70" t="s">
        <v>83</v>
      </c>
      <c r="N192" s="70" t="s">
        <v>106</v>
      </c>
      <c r="O192" s="70" t="s">
        <v>92</v>
      </c>
      <c r="P192" s="70">
        <v>-69514.613811411007</v>
      </c>
      <c r="Q192" s="70">
        <v>0</v>
      </c>
      <c r="R192" s="70">
        <v>-69514.613811411007</v>
      </c>
      <c r="S192" s="56"/>
    </row>
    <row r="193" spans="1:19" ht="15" customHeight="1" x14ac:dyDescent="0.25">
      <c r="A193" s="70">
        <v>8809582</v>
      </c>
      <c r="B193" s="70" t="s">
        <v>101</v>
      </c>
      <c r="C193" s="71">
        <v>44063.385636574072</v>
      </c>
      <c r="D193" s="72">
        <v>44067</v>
      </c>
      <c r="E193" s="70" t="s">
        <v>118</v>
      </c>
      <c r="F193" s="70" t="s">
        <v>118</v>
      </c>
      <c r="G193" s="70" t="s">
        <v>82</v>
      </c>
      <c r="H193" s="70">
        <v>-900000</v>
      </c>
      <c r="I193" s="70" t="s">
        <v>17</v>
      </c>
      <c r="J193" s="70">
        <v>35823960</v>
      </c>
      <c r="K193" s="70" t="s">
        <v>18</v>
      </c>
      <c r="L193" s="70">
        <v>39.804400000000001</v>
      </c>
      <c r="M193" s="70" t="s">
        <v>83</v>
      </c>
      <c r="N193" s="70" t="s">
        <v>106</v>
      </c>
      <c r="O193" s="70" t="s">
        <v>85</v>
      </c>
      <c r="P193" s="70">
        <v>-41804.410083226903</v>
      </c>
      <c r="Q193" s="70">
        <v>0</v>
      </c>
      <c r="R193" s="70">
        <v>-41804.410083226903</v>
      </c>
      <c r="S193" s="56"/>
    </row>
    <row r="194" spans="1:19" ht="15" customHeight="1" x14ac:dyDescent="0.25">
      <c r="A194" s="70">
        <v>8803772</v>
      </c>
      <c r="B194" s="70" t="s">
        <v>101</v>
      </c>
      <c r="C194" s="71">
        <v>44062.428761574076</v>
      </c>
      <c r="D194" s="72">
        <v>44077</v>
      </c>
      <c r="E194" s="70" t="s">
        <v>142</v>
      </c>
      <c r="F194" s="70" t="s">
        <v>142</v>
      </c>
      <c r="G194" s="70" t="s">
        <v>82</v>
      </c>
      <c r="H194" s="70">
        <v>-100000</v>
      </c>
      <c r="I194" s="70" t="s">
        <v>22</v>
      </c>
      <c r="J194" s="70">
        <v>4742000</v>
      </c>
      <c r="K194" s="70" t="s">
        <v>18</v>
      </c>
      <c r="L194" s="70">
        <v>47.42</v>
      </c>
      <c r="M194" s="70" t="s">
        <v>83</v>
      </c>
      <c r="N194" s="70" t="s">
        <v>115</v>
      </c>
      <c r="O194" s="70" t="s">
        <v>92</v>
      </c>
      <c r="P194" s="70">
        <v>44611.423997411497</v>
      </c>
      <c r="Q194" s="70">
        <v>0</v>
      </c>
      <c r="R194" s="70">
        <v>44611.423997411497</v>
      </c>
      <c r="S194" s="56"/>
    </row>
    <row r="195" spans="1:19" ht="15" customHeight="1" x14ac:dyDescent="0.25">
      <c r="A195" s="70">
        <v>8802818</v>
      </c>
      <c r="B195" s="70" t="s">
        <v>101</v>
      </c>
      <c r="C195" s="71">
        <v>44062.361122685186</v>
      </c>
      <c r="D195" s="72">
        <v>44069</v>
      </c>
      <c r="E195" s="70" t="s">
        <v>96</v>
      </c>
      <c r="F195" s="70"/>
      <c r="G195" s="70" t="s">
        <v>82</v>
      </c>
      <c r="H195" s="70">
        <v>-1259423.6399999999</v>
      </c>
      <c r="I195" s="70" t="s">
        <v>17</v>
      </c>
      <c r="J195" s="70">
        <v>50000000</v>
      </c>
      <c r="K195" s="70" t="s">
        <v>18</v>
      </c>
      <c r="L195" s="70">
        <v>39.700699999999998</v>
      </c>
      <c r="M195" s="70" t="s">
        <v>97</v>
      </c>
      <c r="N195" s="70" t="s">
        <v>87</v>
      </c>
      <c r="O195" s="70" t="s">
        <v>85</v>
      </c>
      <c r="P195" s="70">
        <v>-192588.16969665099</v>
      </c>
      <c r="Q195" s="70">
        <v>0</v>
      </c>
      <c r="R195" s="70">
        <v>-192588.16969665099</v>
      </c>
      <c r="S195" s="56"/>
    </row>
    <row r="196" spans="1:19" ht="15" customHeight="1" x14ac:dyDescent="0.25">
      <c r="A196" s="70">
        <v>8800465</v>
      </c>
      <c r="B196" s="70" t="s">
        <v>101</v>
      </c>
      <c r="C196" s="71">
        <v>44061.527349537035</v>
      </c>
      <c r="D196" s="72">
        <v>44068</v>
      </c>
      <c r="E196" s="70" t="s">
        <v>96</v>
      </c>
      <c r="F196" s="70"/>
      <c r="G196" s="70" t="s">
        <v>82</v>
      </c>
      <c r="H196" s="70">
        <v>-23000000</v>
      </c>
      <c r="I196" s="70" t="s">
        <v>22</v>
      </c>
      <c r="J196" s="70">
        <v>27470993</v>
      </c>
      <c r="K196" s="70" t="s">
        <v>17</v>
      </c>
      <c r="L196" s="70">
        <v>1.194391</v>
      </c>
      <c r="M196" s="70" t="s">
        <v>97</v>
      </c>
      <c r="N196" s="70" t="s">
        <v>91</v>
      </c>
      <c r="O196" s="70" t="s">
        <v>85</v>
      </c>
      <c r="P196" s="70">
        <v>14930128.396588299</v>
      </c>
      <c r="Q196" s="70">
        <v>0</v>
      </c>
      <c r="R196" s="70">
        <v>14930128.396588299</v>
      </c>
      <c r="S196" s="56"/>
    </row>
    <row r="197" spans="1:19" ht="15" customHeight="1" x14ac:dyDescent="0.25">
      <c r="A197" s="70">
        <v>8799642</v>
      </c>
      <c r="B197" s="70" t="s">
        <v>101</v>
      </c>
      <c r="C197" s="71">
        <v>44061.472256944442</v>
      </c>
      <c r="D197" s="72">
        <v>44077</v>
      </c>
      <c r="E197" s="70" t="s">
        <v>137</v>
      </c>
      <c r="F197" s="70" t="s">
        <v>137</v>
      </c>
      <c r="G197" s="70" t="s">
        <v>82</v>
      </c>
      <c r="H197" s="70">
        <v>-556574</v>
      </c>
      <c r="I197" s="70" t="s">
        <v>17</v>
      </c>
      <c r="J197" s="70">
        <v>22161329.59</v>
      </c>
      <c r="K197" s="70" t="s">
        <v>18</v>
      </c>
      <c r="L197" s="70">
        <v>39.817399999999999</v>
      </c>
      <c r="M197" s="70" t="s">
        <v>83</v>
      </c>
      <c r="N197" s="70" t="s">
        <v>115</v>
      </c>
      <c r="O197" s="70" t="s">
        <v>85</v>
      </c>
      <c r="P197" s="70">
        <v>-26305.406641647201</v>
      </c>
      <c r="Q197" s="70">
        <v>0</v>
      </c>
      <c r="R197" s="70">
        <v>-26305.406641647201</v>
      </c>
      <c r="S197" s="56"/>
    </row>
    <row r="198" spans="1:19" ht="15" customHeight="1" x14ac:dyDescent="0.25">
      <c r="A198" s="70">
        <v>8795108</v>
      </c>
      <c r="B198" s="70" t="s">
        <v>101</v>
      </c>
      <c r="C198" s="71">
        <v>44060.491099537037</v>
      </c>
      <c r="D198" s="72">
        <v>44067</v>
      </c>
      <c r="E198" s="70" t="s">
        <v>96</v>
      </c>
      <c r="F198" s="70"/>
      <c r="G198" s="70" t="s">
        <v>82</v>
      </c>
      <c r="H198" s="70">
        <v>-1511308.36</v>
      </c>
      <c r="I198" s="70" t="s">
        <v>17</v>
      </c>
      <c r="J198" s="70">
        <v>60000000</v>
      </c>
      <c r="K198" s="70" t="s">
        <v>18</v>
      </c>
      <c r="L198" s="70">
        <v>39.700699999999998</v>
      </c>
      <c r="M198" s="70" t="s">
        <v>97</v>
      </c>
      <c r="N198" s="70" t="s">
        <v>91</v>
      </c>
      <c r="O198" s="70" t="s">
        <v>85</v>
      </c>
      <c r="P198" s="70">
        <v>-226904.25088902601</v>
      </c>
      <c r="Q198" s="70">
        <v>0</v>
      </c>
      <c r="R198" s="70">
        <v>-226904.25088902601</v>
      </c>
      <c r="S198" s="56"/>
    </row>
    <row r="199" spans="1:19" ht="15" customHeight="1" x14ac:dyDescent="0.25">
      <c r="A199" s="70">
        <v>8794787</v>
      </c>
      <c r="B199" s="70" t="s">
        <v>101</v>
      </c>
      <c r="C199" s="71">
        <v>44060.465254629627</v>
      </c>
      <c r="D199" s="72">
        <v>44071</v>
      </c>
      <c r="E199" s="70" t="s">
        <v>88</v>
      </c>
      <c r="F199" s="70" t="s">
        <v>88</v>
      </c>
      <c r="G199" s="70" t="s">
        <v>86</v>
      </c>
      <c r="H199" s="70">
        <v>3000000</v>
      </c>
      <c r="I199" s="70" t="s">
        <v>22</v>
      </c>
      <c r="J199" s="70">
        <v>-141285000</v>
      </c>
      <c r="K199" s="70" t="s">
        <v>18</v>
      </c>
      <c r="L199" s="70">
        <v>47.094999999999999</v>
      </c>
      <c r="M199" s="70" t="s">
        <v>83</v>
      </c>
      <c r="N199" s="70" t="s">
        <v>89</v>
      </c>
      <c r="O199" s="70" t="s">
        <v>85</v>
      </c>
      <c r="P199" s="70">
        <v>-411527.08522611897</v>
      </c>
      <c r="Q199" s="70">
        <v>0</v>
      </c>
      <c r="R199" s="70">
        <v>-411527.08522611897</v>
      </c>
      <c r="S199" s="56"/>
    </row>
    <row r="200" spans="1:19" ht="15" customHeight="1" x14ac:dyDescent="0.25">
      <c r="A200" s="70">
        <v>8794762</v>
      </c>
      <c r="B200" s="70" t="s">
        <v>101</v>
      </c>
      <c r="C200" s="71">
        <v>44060.463900462964</v>
      </c>
      <c r="D200" s="72">
        <v>44070</v>
      </c>
      <c r="E200" s="70" t="s">
        <v>88</v>
      </c>
      <c r="F200" s="70" t="s">
        <v>88</v>
      </c>
      <c r="G200" s="70" t="s">
        <v>86</v>
      </c>
      <c r="H200" s="70">
        <v>2000000</v>
      </c>
      <c r="I200" s="70" t="s">
        <v>22</v>
      </c>
      <c r="J200" s="70">
        <v>-94190000</v>
      </c>
      <c r="K200" s="70" t="s">
        <v>18</v>
      </c>
      <c r="L200" s="70">
        <v>47.094999999999999</v>
      </c>
      <c r="M200" s="70" t="s">
        <v>83</v>
      </c>
      <c r="N200" s="70" t="s">
        <v>89</v>
      </c>
      <c r="O200" s="70" t="s">
        <v>85</v>
      </c>
      <c r="P200" s="70">
        <v>-279649.55047400302</v>
      </c>
      <c r="Q200" s="70">
        <v>0</v>
      </c>
      <c r="R200" s="70">
        <v>-279649.55047400302</v>
      </c>
      <c r="S200" s="56"/>
    </row>
    <row r="201" spans="1:19" ht="15" customHeight="1" x14ac:dyDescent="0.25">
      <c r="A201" s="70">
        <v>8789968</v>
      </c>
      <c r="B201" s="70" t="s">
        <v>101</v>
      </c>
      <c r="C201" s="71">
        <v>44057.52039351852</v>
      </c>
      <c r="D201" s="72">
        <v>44067</v>
      </c>
      <c r="E201" s="70" t="s">
        <v>96</v>
      </c>
      <c r="F201" s="70"/>
      <c r="G201" s="70" t="s">
        <v>86</v>
      </c>
      <c r="H201" s="70">
        <v>272272.43</v>
      </c>
      <c r="I201" s="70" t="s">
        <v>17</v>
      </c>
      <c r="J201" s="70">
        <v>-1000000</v>
      </c>
      <c r="K201" s="70" t="s">
        <v>19</v>
      </c>
      <c r="L201" s="70">
        <v>3.6727919999999998</v>
      </c>
      <c r="M201" s="70" t="s">
        <v>97</v>
      </c>
      <c r="N201" s="70" t="s">
        <v>87</v>
      </c>
      <c r="O201" s="70" t="s">
        <v>85</v>
      </c>
      <c r="P201" s="70">
        <v>23.660742262378299</v>
      </c>
      <c r="Q201" s="70">
        <v>0</v>
      </c>
      <c r="R201" s="70">
        <v>23.660742262378299</v>
      </c>
      <c r="S201" s="56"/>
    </row>
    <row r="202" spans="1:19" ht="15" customHeight="1" x14ac:dyDescent="0.25">
      <c r="A202" s="70">
        <v>8766816</v>
      </c>
      <c r="B202" s="70" t="s">
        <v>101</v>
      </c>
      <c r="C202" s="71">
        <v>44054.521597222221</v>
      </c>
      <c r="D202" s="72">
        <v>44069</v>
      </c>
      <c r="E202" s="70" t="s">
        <v>94</v>
      </c>
      <c r="F202" s="70"/>
      <c r="G202" s="70" t="s">
        <v>86</v>
      </c>
      <c r="H202" s="70">
        <v>129023.42</v>
      </c>
      <c r="I202" s="70" t="s">
        <v>17</v>
      </c>
      <c r="J202" s="70">
        <v>-1000000</v>
      </c>
      <c r="K202" s="70" t="s">
        <v>27</v>
      </c>
      <c r="L202" s="70">
        <v>7.7505309999999996</v>
      </c>
      <c r="M202" s="70" t="s">
        <v>97</v>
      </c>
      <c r="N202" s="70" t="s">
        <v>87</v>
      </c>
      <c r="O202" s="70" t="s">
        <v>85</v>
      </c>
      <c r="P202" s="70">
        <v>116.271397693083</v>
      </c>
      <c r="Q202" s="70">
        <v>0</v>
      </c>
      <c r="R202" s="70">
        <v>116.271397693083</v>
      </c>
      <c r="S202" s="56"/>
    </row>
    <row r="203" spans="1:19" ht="15" customHeight="1" x14ac:dyDescent="0.25">
      <c r="A203" s="70">
        <v>8764782</v>
      </c>
      <c r="B203" s="70" t="s">
        <v>101</v>
      </c>
      <c r="C203" s="71">
        <v>44054.372256944444</v>
      </c>
      <c r="D203" s="72">
        <v>44068</v>
      </c>
      <c r="E203" s="70" t="s">
        <v>118</v>
      </c>
      <c r="F203" s="70" t="s">
        <v>118</v>
      </c>
      <c r="G203" s="70" t="s">
        <v>82</v>
      </c>
      <c r="H203" s="70">
        <v>-2350000</v>
      </c>
      <c r="I203" s="70" t="s">
        <v>17</v>
      </c>
      <c r="J203" s="70">
        <v>93802835</v>
      </c>
      <c r="K203" s="70" t="s">
        <v>18</v>
      </c>
      <c r="L203" s="70">
        <v>39.9161</v>
      </c>
      <c r="M203" s="70" t="s">
        <v>83</v>
      </c>
      <c r="N203" s="70" t="s">
        <v>106</v>
      </c>
      <c r="O203" s="70" t="s">
        <v>85</v>
      </c>
      <c r="P203" s="70">
        <v>150025.08473020801</v>
      </c>
      <c r="Q203" s="70">
        <v>0</v>
      </c>
      <c r="R203" s="70">
        <v>150025.08473020801</v>
      </c>
      <c r="S203" s="56"/>
    </row>
    <row r="204" spans="1:19" ht="15" customHeight="1" x14ac:dyDescent="0.25">
      <c r="A204" s="70">
        <v>8761911</v>
      </c>
      <c r="B204" s="70" t="s">
        <v>101</v>
      </c>
      <c r="C204" s="71">
        <v>44053.515324074076</v>
      </c>
      <c r="D204" s="72">
        <v>44068</v>
      </c>
      <c r="E204" s="70" t="s">
        <v>94</v>
      </c>
      <c r="F204" s="70"/>
      <c r="G204" s="70" t="s">
        <v>86</v>
      </c>
      <c r="H204" s="70">
        <v>286616.46999999997</v>
      </c>
      <c r="I204" s="70" t="s">
        <v>17</v>
      </c>
      <c r="J204" s="70">
        <v>-2000000</v>
      </c>
      <c r="K204" s="70" t="s">
        <v>45</v>
      </c>
      <c r="L204" s="70">
        <v>6.9779660000000003</v>
      </c>
      <c r="M204" s="70" t="s">
        <v>97</v>
      </c>
      <c r="N204" s="70" t="s">
        <v>87</v>
      </c>
      <c r="O204" s="70" t="s">
        <v>85</v>
      </c>
      <c r="P204" s="70">
        <v>-97996.172288697198</v>
      </c>
      <c r="Q204" s="70">
        <v>0</v>
      </c>
      <c r="R204" s="70">
        <v>-97996.172288697198</v>
      </c>
      <c r="S204" s="56"/>
    </row>
    <row r="205" spans="1:19" ht="15" customHeight="1" x14ac:dyDescent="0.25">
      <c r="A205" s="70">
        <v>8760045</v>
      </c>
      <c r="B205" s="70" t="s">
        <v>101</v>
      </c>
      <c r="C205" s="71">
        <v>44053.404062499998</v>
      </c>
      <c r="D205" s="72">
        <v>44084</v>
      </c>
      <c r="E205" s="70" t="s">
        <v>88</v>
      </c>
      <c r="F205" s="70" t="s">
        <v>88</v>
      </c>
      <c r="G205" s="70" t="s">
        <v>82</v>
      </c>
      <c r="H205" s="70">
        <v>-1000000</v>
      </c>
      <c r="I205" s="70" t="s">
        <v>17</v>
      </c>
      <c r="J205" s="70">
        <v>39962500</v>
      </c>
      <c r="K205" s="70" t="s">
        <v>18</v>
      </c>
      <c r="L205" s="70">
        <v>39.962499999999999</v>
      </c>
      <c r="M205" s="70" t="s">
        <v>83</v>
      </c>
      <c r="N205" s="70" t="s">
        <v>115</v>
      </c>
      <c r="O205" s="70" t="s">
        <v>85</v>
      </c>
      <c r="P205" s="70">
        <v>88361.452348195002</v>
      </c>
      <c r="Q205" s="70">
        <v>0</v>
      </c>
      <c r="R205" s="70">
        <v>88361.452348195002</v>
      </c>
      <c r="S205" s="56"/>
    </row>
    <row r="206" spans="1:19" ht="15" customHeight="1" x14ac:dyDescent="0.25">
      <c r="A206" s="70">
        <v>8646163</v>
      </c>
      <c r="B206" s="70" t="s">
        <v>101</v>
      </c>
      <c r="C206" s="71">
        <v>44026.472245370373</v>
      </c>
      <c r="D206" s="72">
        <v>44120</v>
      </c>
      <c r="E206" s="70" t="s">
        <v>96</v>
      </c>
      <c r="F206" s="70"/>
      <c r="G206" s="70" t="s">
        <v>86</v>
      </c>
      <c r="H206" s="70">
        <v>10000000</v>
      </c>
      <c r="I206" s="70" t="s">
        <v>25</v>
      </c>
      <c r="J206" s="70">
        <v>-12532150</v>
      </c>
      <c r="K206" s="70" t="s">
        <v>17</v>
      </c>
      <c r="L206" s="70">
        <v>1.253215</v>
      </c>
      <c r="M206" s="70" t="s">
        <v>97</v>
      </c>
      <c r="N206" s="70" t="s">
        <v>91</v>
      </c>
      <c r="O206" s="70" t="s">
        <v>85</v>
      </c>
      <c r="P206" s="70">
        <v>23411026.291684002</v>
      </c>
      <c r="Q206" s="70">
        <v>0</v>
      </c>
      <c r="R206" s="70">
        <v>23411026.291684002</v>
      </c>
      <c r="S206" s="56"/>
    </row>
    <row r="207" spans="1:19" ht="15" customHeight="1" x14ac:dyDescent="0.25">
      <c r="A207" s="70">
        <v>8576403</v>
      </c>
      <c r="B207" s="70" t="s">
        <v>101</v>
      </c>
      <c r="C207" s="71">
        <v>44008.331134259257</v>
      </c>
      <c r="D207" s="72">
        <v>44130</v>
      </c>
      <c r="E207" s="70" t="s">
        <v>126</v>
      </c>
      <c r="F207" s="70" t="s">
        <v>126</v>
      </c>
      <c r="G207" s="70" t="s">
        <v>82</v>
      </c>
      <c r="H207" s="70">
        <v>-1600000</v>
      </c>
      <c r="I207" s="70" t="s">
        <v>17</v>
      </c>
      <c r="J207" s="70">
        <v>29732640</v>
      </c>
      <c r="K207" s="70" t="s">
        <v>28</v>
      </c>
      <c r="L207" s="70">
        <v>18.582899999999999</v>
      </c>
      <c r="M207" s="70" t="s">
        <v>83</v>
      </c>
      <c r="N207" s="70" t="s">
        <v>122</v>
      </c>
      <c r="O207" s="70" t="s">
        <v>85</v>
      </c>
      <c r="P207" s="70">
        <v>584053.53179686505</v>
      </c>
      <c r="Q207" s="70">
        <v>0</v>
      </c>
      <c r="R207" s="70">
        <v>584053.53179686505</v>
      </c>
      <c r="S207" s="56"/>
    </row>
    <row r="208" spans="1:19" ht="15" customHeight="1" x14ac:dyDescent="0.25">
      <c r="A208" s="70">
        <v>8575927</v>
      </c>
      <c r="B208" s="70" t="s">
        <v>101</v>
      </c>
      <c r="C208" s="71">
        <v>44008.289583333331</v>
      </c>
      <c r="D208" s="72">
        <v>44130</v>
      </c>
      <c r="E208" s="70" t="s">
        <v>123</v>
      </c>
      <c r="F208" s="70"/>
      <c r="G208" s="70" t="s">
        <v>86</v>
      </c>
      <c r="H208" s="70">
        <v>1600000</v>
      </c>
      <c r="I208" s="70" t="s">
        <v>17</v>
      </c>
      <c r="J208" s="70">
        <v>-29524640</v>
      </c>
      <c r="K208" s="70" t="s">
        <v>28</v>
      </c>
      <c r="L208" s="70">
        <v>18.4529</v>
      </c>
      <c r="M208" s="70" t="s">
        <v>97</v>
      </c>
      <c r="N208" s="70" t="s">
        <v>87</v>
      </c>
      <c r="O208" s="70" t="s">
        <v>85</v>
      </c>
      <c r="P208" s="70">
        <v>-134136.03108771899</v>
      </c>
      <c r="Q208" s="70">
        <v>0</v>
      </c>
      <c r="R208" s="70">
        <v>-134136.03108771899</v>
      </c>
      <c r="S208" s="56"/>
    </row>
    <row r="209" spans="1:19" ht="15" customHeight="1" x14ac:dyDescent="0.25">
      <c r="A209" s="70">
        <v>8562266</v>
      </c>
      <c r="B209" s="70" t="s">
        <v>101</v>
      </c>
      <c r="C209" s="71">
        <v>44005.473217592589</v>
      </c>
      <c r="D209" s="72">
        <v>44131</v>
      </c>
      <c r="E209" s="70" t="s">
        <v>121</v>
      </c>
      <c r="F209" s="70" t="s">
        <v>121</v>
      </c>
      <c r="G209" s="70" t="s">
        <v>82</v>
      </c>
      <c r="H209" s="70">
        <v>-1250000</v>
      </c>
      <c r="I209" s="70" t="s">
        <v>22</v>
      </c>
      <c r="J209" s="70">
        <v>56700000</v>
      </c>
      <c r="K209" s="70" t="s">
        <v>18</v>
      </c>
      <c r="L209" s="70">
        <v>45.36</v>
      </c>
      <c r="M209" s="70" t="s">
        <v>83</v>
      </c>
      <c r="N209" s="70" t="s">
        <v>115</v>
      </c>
      <c r="O209" s="70" t="s">
        <v>85</v>
      </c>
      <c r="P209" s="70">
        <v>-2177334.3919117502</v>
      </c>
      <c r="Q209" s="70">
        <v>0</v>
      </c>
      <c r="R209" s="70">
        <v>-2177334.3919117502</v>
      </c>
      <c r="S209" s="56"/>
    </row>
    <row r="210" spans="1:19" ht="15" customHeight="1" x14ac:dyDescent="0.25">
      <c r="A210" s="70">
        <v>8430619</v>
      </c>
      <c r="B210" s="70" t="s">
        <v>101</v>
      </c>
      <c r="C210" s="71">
        <v>43977.324756944443</v>
      </c>
      <c r="D210" s="72">
        <v>44068</v>
      </c>
      <c r="E210" s="70" t="s">
        <v>113</v>
      </c>
      <c r="F210" s="70"/>
      <c r="G210" s="70" t="s">
        <v>82</v>
      </c>
      <c r="H210" s="70">
        <v>-272000</v>
      </c>
      <c r="I210" s="70" t="s">
        <v>17</v>
      </c>
      <c r="J210" s="70">
        <v>10907172.800000001</v>
      </c>
      <c r="K210" s="70" t="s">
        <v>18</v>
      </c>
      <c r="L210" s="70">
        <v>40.099899999999998</v>
      </c>
      <c r="M210" s="70" t="s">
        <v>97</v>
      </c>
      <c r="N210" s="70" t="s">
        <v>87</v>
      </c>
      <c r="O210" s="70" t="s">
        <v>85</v>
      </c>
      <c r="P210" s="70">
        <v>67350.737116543605</v>
      </c>
      <c r="Q210" s="70">
        <v>0</v>
      </c>
      <c r="R210" s="70">
        <v>67350.737116543605</v>
      </c>
      <c r="S210" s="56"/>
    </row>
    <row r="211" spans="1:19" ht="15" customHeight="1" x14ac:dyDescent="0.25">
      <c r="A211" s="70">
        <v>8429851</v>
      </c>
      <c r="B211" s="70" t="s">
        <v>101</v>
      </c>
      <c r="C211" s="71">
        <v>43977.24491898148</v>
      </c>
      <c r="D211" s="72">
        <v>44068</v>
      </c>
      <c r="E211" s="70" t="s">
        <v>114</v>
      </c>
      <c r="F211" s="70" t="s">
        <v>114</v>
      </c>
      <c r="G211" s="70" t="s">
        <v>86</v>
      </c>
      <c r="H211" s="70">
        <v>272000</v>
      </c>
      <c r="I211" s="70" t="s">
        <v>17</v>
      </c>
      <c r="J211" s="70">
        <v>-10879320</v>
      </c>
      <c r="K211" s="70" t="s">
        <v>18</v>
      </c>
      <c r="L211" s="70">
        <v>39.997500000000002</v>
      </c>
      <c r="M211" s="70" t="s">
        <v>83</v>
      </c>
      <c r="N211" s="70" t="s">
        <v>89</v>
      </c>
      <c r="O211" s="70" t="s">
        <v>85</v>
      </c>
      <c r="P211" s="70">
        <v>-39502.097985777997</v>
      </c>
      <c r="Q211" s="70">
        <v>0</v>
      </c>
      <c r="R211" s="70">
        <v>-39502.097985777997</v>
      </c>
      <c r="S211" s="56"/>
    </row>
    <row r="212" spans="1:19" ht="15" customHeight="1" x14ac:dyDescent="0.25">
      <c r="A212"/>
      <c r="C212"/>
      <c r="D212"/>
      <c r="H212"/>
      <c r="I212"/>
      <c r="J212"/>
      <c r="P212"/>
      <c r="R212"/>
      <c r="S212" s="56"/>
    </row>
    <row r="213" spans="1:19" ht="15" customHeight="1" x14ac:dyDescent="0.25">
      <c r="A213"/>
      <c r="C213"/>
      <c r="D213"/>
      <c r="H213"/>
      <c r="I213"/>
      <c r="J213"/>
      <c r="P213"/>
      <c r="R213"/>
      <c r="S213" s="56"/>
    </row>
    <row r="214" spans="1:19" ht="15" customHeight="1" x14ac:dyDescent="0.25">
      <c r="A214" s="56"/>
      <c r="B214" s="56"/>
      <c r="C214" s="27"/>
      <c r="D214" s="58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19"/>
      <c r="Q214" s="56"/>
      <c r="R214" s="56"/>
      <c r="S214" s="56"/>
    </row>
    <row r="215" spans="1:19" ht="15" customHeight="1" x14ac:dyDescent="0.25">
      <c r="A215" s="56"/>
      <c r="B215" s="56"/>
      <c r="C215" s="27"/>
      <c r="D215" s="58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19"/>
      <c r="Q215" s="56"/>
      <c r="R215" s="56"/>
      <c r="S215" s="56"/>
    </row>
    <row r="216" spans="1:19" ht="15" customHeight="1" x14ac:dyDescent="0.25">
      <c r="A216" s="56"/>
      <c r="B216" s="56"/>
      <c r="C216" s="27"/>
      <c r="D216" s="58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19"/>
      <c r="Q216" s="56"/>
      <c r="R216" s="56"/>
    </row>
    <row r="217" spans="1:19" ht="15" customHeight="1" x14ac:dyDescent="0.25">
      <c r="A217" s="56"/>
      <c r="B217" s="56"/>
      <c r="C217" s="27"/>
      <c r="D217" s="58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19"/>
      <c r="Q217" s="56"/>
      <c r="R217" s="56"/>
    </row>
    <row r="218" spans="1:19" ht="15" customHeight="1" x14ac:dyDescent="0.25">
      <c r="A218" s="56"/>
      <c r="B218" s="56"/>
      <c r="C218" s="27"/>
      <c r="D218" s="58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19"/>
      <c r="Q218" s="56"/>
      <c r="R218" s="56"/>
    </row>
    <row r="219" spans="1:19" ht="15" customHeight="1" x14ac:dyDescent="0.25">
      <c r="A219" s="56"/>
      <c r="B219" s="56"/>
      <c r="C219" s="27"/>
      <c r="D219" s="58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19"/>
      <c r="Q219" s="56"/>
      <c r="R219" s="56"/>
    </row>
    <row r="220" spans="1:19" ht="15" customHeight="1" x14ac:dyDescent="0.25">
      <c r="A220" s="56"/>
      <c r="B220" s="56"/>
      <c r="C220" s="27"/>
      <c r="D220" s="58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19"/>
      <c r="Q220" s="56"/>
      <c r="R220" s="56"/>
    </row>
    <row r="221" spans="1:19" ht="15" customHeight="1" x14ac:dyDescent="0.25">
      <c r="A221" s="56"/>
      <c r="B221" s="56"/>
      <c r="C221" s="27"/>
      <c r="D221" s="58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19"/>
      <c r="Q221" s="56"/>
      <c r="R221" s="56"/>
    </row>
    <row r="222" spans="1:19" ht="15" customHeight="1" x14ac:dyDescent="0.25">
      <c r="A222" s="56"/>
      <c r="B222" s="56"/>
      <c r="C222" s="27"/>
      <c r="D222" s="58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19"/>
      <c r="Q222" s="56"/>
      <c r="R222" s="56"/>
    </row>
    <row r="223" spans="1:19" ht="15" customHeight="1" x14ac:dyDescent="0.25">
      <c r="A223" s="56"/>
      <c r="B223" s="56"/>
      <c r="C223" s="27"/>
      <c r="D223" s="58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19"/>
      <c r="Q223" s="56"/>
      <c r="R223" s="56"/>
    </row>
    <row r="224" spans="1:19" ht="15" customHeight="1" x14ac:dyDescent="0.25">
      <c r="A224" s="56"/>
      <c r="B224" s="56"/>
      <c r="C224" s="27"/>
      <c r="D224" s="58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19"/>
      <c r="Q224" s="56"/>
      <c r="R224" s="56"/>
    </row>
    <row r="225" spans="1:18" ht="15" customHeight="1" x14ac:dyDescent="0.25">
      <c r="A225" s="56"/>
      <c r="B225" s="56"/>
      <c r="C225" s="27"/>
      <c r="D225" s="58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19"/>
      <c r="Q225" s="56"/>
      <c r="R225" s="56"/>
    </row>
    <row r="226" spans="1:18" ht="15" customHeight="1" x14ac:dyDescent="0.25">
      <c r="A226" s="56"/>
      <c r="B226" s="56"/>
      <c r="C226" s="27"/>
      <c r="D226" s="58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19"/>
      <c r="Q226" s="56"/>
      <c r="R226" s="56"/>
    </row>
    <row r="227" spans="1:18" ht="15" customHeight="1" x14ac:dyDescent="0.25">
      <c r="A227" s="56"/>
      <c r="B227" s="56"/>
      <c r="C227" s="27"/>
      <c r="D227" s="58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19"/>
      <c r="Q227" s="56"/>
      <c r="R227" s="56"/>
    </row>
    <row r="228" spans="1:18" ht="15" customHeight="1" x14ac:dyDescent="0.25">
      <c r="A228" s="56"/>
      <c r="B228" s="56"/>
      <c r="C228" s="27"/>
      <c r="D228" s="58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19"/>
      <c r="Q228" s="56"/>
      <c r="R228" s="56"/>
    </row>
    <row r="229" spans="1:18" ht="15" customHeight="1" x14ac:dyDescent="0.25">
      <c r="A229" s="56"/>
      <c r="B229" s="56"/>
      <c r="C229" s="27"/>
      <c r="D229" s="58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19"/>
      <c r="Q229" s="56"/>
      <c r="R229" s="56"/>
    </row>
    <row r="230" spans="1:18" ht="15" customHeight="1" x14ac:dyDescent="0.25">
      <c r="A230" s="56"/>
      <c r="B230" s="56"/>
      <c r="C230" s="27"/>
      <c r="D230" s="58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19"/>
      <c r="Q230" s="56"/>
      <c r="R230" s="56"/>
    </row>
    <row r="231" spans="1:18" ht="15" customHeight="1" x14ac:dyDescent="0.25">
      <c r="A231" s="56"/>
      <c r="B231" s="56"/>
      <c r="C231" s="27"/>
      <c r="D231" s="58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19"/>
      <c r="Q231" s="56"/>
      <c r="R231" s="56"/>
    </row>
    <row r="232" spans="1:18" ht="15" customHeight="1" x14ac:dyDescent="0.25">
      <c r="A232" s="56"/>
      <c r="B232" s="56"/>
      <c r="C232" s="27"/>
      <c r="D232" s="58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19"/>
      <c r="Q232" s="56"/>
      <c r="R232" s="56"/>
    </row>
    <row r="233" spans="1:18" ht="15" customHeight="1" x14ac:dyDescent="0.25">
      <c r="A233" s="56"/>
      <c r="B233" s="56"/>
      <c r="C233" s="27"/>
      <c r="D233" s="58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19"/>
      <c r="Q233" s="56"/>
      <c r="R233" s="56"/>
    </row>
    <row r="234" spans="1:18" ht="15" customHeight="1" x14ac:dyDescent="0.25">
      <c r="A234" s="56"/>
      <c r="B234" s="56"/>
      <c r="C234" s="27"/>
      <c r="D234" s="58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19"/>
      <c r="Q234" s="56"/>
      <c r="R234" s="56"/>
    </row>
    <row r="235" spans="1:18" ht="15" customHeight="1" x14ac:dyDescent="0.25">
      <c r="A235" s="56"/>
      <c r="B235" s="56"/>
      <c r="C235" s="27"/>
      <c r="D235" s="58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19"/>
      <c r="Q235" s="56"/>
      <c r="R235" s="56"/>
    </row>
    <row r="236" spans="1:18" ht="15" customHeight="1" x14ac:dyDescent="0.25">
      <c r="A236" s="56"/>
      <c r="B236" s="56"/>
      <c r="C236" s="27"/>
      <c r="D236" s="58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19"/>
      <c r="Q236" s="56"/>
      <c r="R236" s="56"/>
    </row>
    <row r="237" spans="1:18" ht="15" customHeight="1" x14ac:dyDescent="0.25">
      <c r="A237" s="56"/>
      <c r="B237" s="56"/>
      <c r="C237" s="27"/>
      <c r="D237" s="58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19"/>
      <c r="Q237" s="56"/>
      <c r="R237" s="56"/>
    </row>
    <row r="238" spans="1:18" ht="15" customHeight="1" x14ac:dyDescent="0.25">
      <c r="A238" s="56"/>
      <c r="B238" s="56"/>
      <c r="C238" s="27"/>
      <c r="D238" s="58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19"/>
      <c r="Q238" s="56"/>
      <c r="R238" s="56"/>
    </row>
    <row r="239" spans="1:18" ht="15" customHeight="1" x14ac:dyDescent="0.25">
      <c r="A239" s="56"/>
      <c r="B239" s="56"/>
      <c r="C239" s="27"/>
      <c r="D239" s="58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19"/>
      <c r="Q239" s="56"/>
      <c r="R239" s="56"/>
    </row>
    <row r="240" spans="1:18" ht="15" customHeight="1" x14ac:dyDescent="0.25">
      <c r="A240" s="56"/>
      <c r="B240" s="56"/>
      <c r="C240" s="27"/>
      <c r="D240" s="58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19"/>
      <c r="Q240" s="56"/>
      <c r="R240" s="56"/>
    </row>
    <row r="241" spans="1:18" ht="15" customHeight="1" x14ac:dyDescent="0.25">
      <c r="A241" s="56"/>
      <c r="B241" s="56"/>
      <c r="C241" s="27"/>
      <c r="D241" s="58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19"/>
      <c r="Q241" s="56"/>
      <c r="R241" s="56"/>
    </row>
    <row r="242" spans="1:18" ht="15" customHeight="1" x14ac:dyDescent="0.25">
      <c r="A242" s="56"/>
      <c r="B242" s="56"/>
      <c r="C242" s="27"/>
      <c r="D242" s="58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19"/>
      <c r="Q242" s="56"/>
      <c r="R242" s="56"/>
    </row>
    <row r="243" spans="1:18" ht="15" customHeight="1" x14ac:dyDescent="0.25">
      <c r="A243" s="56"/>
      <c r="B243" s="56"/>
      <c r="C243" s="27"/>
      <c r="D243" s="58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19"/>
      <c r="Q243" s="56"/>
      <c r="R243" s="56"/>
    </row>
    <row r="244" spans="1:18" ht="15" customHeight="1" x14ac:dyDescent="0.25">
      <c r="A244" s="56"/>
      <c r="B244" s="56"/>
      <c r="C244" s="27"/>
      <c r="D244" s="58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19"/>
      <c r="Q244" s="56"/>
      <c r="R244" s="56"/>
    </row>
    <row r="245" spans="1:18" ht="15" customHeight="1" x14ac:dyDescent="0.25">
      <c r="A245" s="56"/>
      <c r="B245" s="56"/>
      <c r="C245" s="27"/>
      <c r="D245" s="58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19"/>
      <c r="Q245" s="56"/>
      <c r="R245" s="56"/>
    </row>
    <row r="246" spans="1:18" ht="15" customHeight="1" x14ac:dyDescent="0.25">
      <c r="A246" s="56"/>
      <c r="B246" s="56"/>
      <c r="C246" s="27"/>
      <c r="D246" s="58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19"/>
      <c r="Q246" s="56"/>
      <c r="R246" s="56"/>
    </row>
    <row r="247" spans="1:18" ht="15" customHeight="1" x14ac:dyDescent="0.25">
      <c r="A247" s="56"/>
      <c r="B247" s="56"/>
      <c r="C247" s="27"/>
      <c r="D247" s="58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19"/>
      <c r="Q247" s="56"/>
      <c r="R247" s="56"/>
    </row>
    <row r="248" spans="1:18" ht="15" customHeight="1" x14ac:dyDescent="0.25">
      <c r="A248" s="56"/>
      <c r="B248" s="56"/>
      <c r="C248" s="27"/>
      <c r="D248" s="58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19"/>
      <c r="Q248" s="56"/>
      <c r="R248" s="56"/>
    </row>
    <row r="249" spans="1:18" ht="15" customHeight="1" x14ac:dyDescent="0.25">
      <c r="A249" s="56"/>
      <c r="B249" s="56"/>
      <c r="C249" s="27"/>
      <c r="D249" s="58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19"/>
      <c r="Q249" s="56"/>
      <c r="R249" s="56"/>
    </row>
    <row r="250" spans="1:18" ht="15" customHeight="1" x14ac:dyDescent="0.25"/>
    <row r="251" spans="1:18" ht="15" customHeight="1" x14ac:dyDescent="0.25"/>
    <row r="252" spans="1:18" ht="15" customHeight="1" x14ac:dyDescent="0.25"/>
    <row r="253" spans="1:18" ht="15" customHeight="1" x14ac:dyDescent="0.25"/>
    <row r="254" spans="1:18" ht="15" customHeight="1" x14ac:dyDescent="0.25"/>
    <row r="255" spans="1:18" ht="15" customHeight="1" x14ac:dyDescent="0.25">
      <c r="B255" s="56"/>
      <c r="C255" s="58"/>
      <c r="D255" s="58"/>
      <c r="E255" s="56"/>
      <c r="F255" s="56"/>
      <c r="G255" s="56"/>
    </row>
    <row r="256" spans="1:18" ht="15" customHeight="1" x14ac:dyDescent="0.25">
      <c r="B256" s="56"/>
      <c r="C256" s="58"/>
      <c r="D256" s="58"/>
      <c r="E256" s="56"/>
      <c r="F256" s="56"/>
      <c r="G256" s="56"/>
    </row>
  </sheetData>
  <conditionalFormatting sqref="A257:A1048576 A214:A254">
    <cfRule type="duplicateValues" dxfId="83" priority="10"/>
    <cfRule type="duplicateValues" dxfId="82" priority="11"/>
  </conditionalFormatting>
  <conditionalFormatting sqref="A257:A1048576 A214:A254">
    <cfRule type="duplicateValues" dxfId="81" priority="8"/>
  </conditionalFormatting>
  <conditionalFormatting sqref="A255:A256">
    <cfRule type="duplicateValues" dxfId="80" priority="5"/>
    <cfRule type="duplicateValues" dxfId="79" priority="6"/>
  </conditionalFormatting>
  <conditionalFormatting sqref="A255:A256">
    <cfRule type="duplicateValues" dxfId="78" priority="4"/>
  </conditionalFormatting>
  <conditionalFormatting sqref="A1">
    <cfRule type="duplicateValues" dxfId="77" priority="2"/>
    <cfRule type="duplicateValues" dxfId="76" priority="3"/>
  </conditionalFormatting>
  <conditionalFormatting sqref="A1">
    <cfRule type="duplicateValues" dxfId="75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M41"/>
  <sheetViews>
    <sheetView tabSelected="1" zoomScale="80" zoomScaleNormal="80" workbookViewId="0">
      <selection activeCell="L1" sqref="L1:M1048576"/>
    </sheetView>
  </sheetViews>
  <sheetFormatPr defaultRowHeight="15" x14ac:dyDescent="0.25"/>
  <cols>
    <col min="2" max="2" width="14.140625" bestFit="1" customWidth="1"/>
    <col min="3" max="3" width="20.7109375" style="19" customWidth="1"/>
    <col min="5" max="5" width="11.140625" style="12" bestFit="1" customWidth="1"/>
    <col min="6" max="6" width="20.140625" style="69" bestFit="1" customWidth="1"/>
    <col min="7" max="7" width="10.5703125" bestFit="1" customWidth="1"/>
    <col min="9" max="9" width="15.140625" bestFit="1" customWidth="1"/>
    <col min="10" max="10" width="27.85546875" style="19" customWidth="1"/>
    <col min="12" max="12" width="13.28515625" style="12" bestFit="1" customWidth="1"/>
    <col min="13" max="13" width="27.140625" style="69" bestFit="1" customWidth="1"/>
  </cols>
  <sheetData>
    <row r="1" spans="2:13" x14ac:dyDescent="0.25">
      <c r="B1" t="s">
        <v>60</v>
      </c>
      <c r="E1" s="12" t="s">
        <v>60</v>
      </c>
      <c r="I1" t="s">
        <v>62</v>
      </c>
      <c r="L1" s="12" t="s">
        <v>62</v>
      </c>
    </row>
    <row r="3" spans="2:13" x14ac:dyDescent="0.25">
      <c r="B3" s="1" t="s">
        <v>29</v>
      </c>
      <c r="C3" t="s">
        <v>32</v>
      </c>
      <c r="E3" s="12" t="s">
        <v>29</v>
      </c>
      <c r="F3" s="69" t="s">
        <v>32</v>
      </c>
      <c r="I3" s="1" t="s">
        <v>29</v>
      </c>
      <c r="J3" t="s">
        <v>34</v>
      </c>
      <c r="L3" s="12" t="s">
        <v>29</v>
      </c>
      <c r="M3" s="69" t="s">
        <v>34</v>
      </c>
    </row>
    <row r="4" spans="2:13" x14ac:dyDescent="0.25">
      <c r="B4" s="61" t="s">
        <v>21</v>
      </c>
      <c r="C4" s="73">
        <v>8000</v>
      </c>
      <c r="E4" s="13" t="s">
        <v>21</v>
      </c>
      <c r="F4" s="69">
        <v>8000</v>
      </c>
      <c r="I4" s="2" t="s">
        <v>30</v>
      </c>
      <c r="J4" s="59"/>
      <c r="L4" s="12" t="s">
        <v>30</v>
      </c>
    </row>
    <row r="5" spans="2:13" x14ac:dyDescent="0.25">
      <c r="B5" s="61" t="s">
        <v>22</v>
      </c>
      <c r="C5" s="73">
        <v>-25853665.839999981</v>
      </c>
      <c r="E5" s="13" t="s">
        <v>22</v>
      </c>
      <c r="F5" s="69">
        <v>-25853665.839999981</v>
      </c>
      <c r="I5" s="2" t="s">
        <v>21</v>
      </c>
      <c r="J5" s="59">
        <v>8000</v>
      </c>
      <c r="L5" s="12" t="s">
        <v>21</v>
      </c>
      <c r="M5" s="69">
        <v>8000</v>
      </c>
    </row>
    <row r="6" spans="2:13" x14ac:dyDescent="0.25">
      <c r="B6" s="61" t="s">
        <v>25</v>
      </c>
      <c r="C6" s="73">
        <v>9910142.9499999993</v>
      </c>
      <c r="E6" s="13" t="s">
        <v>25</v>
      </c>
      <c r="F6" s="69">
        <v>9910142.9499999993</v>
      </c>
      <c r="I6" s="2" t="s">
        <v>22</v>
      </c>
      <c r="J6" s="59">
        <v>-25853665.839999981</v>
      </c>
      <c r="L6" s="12" t="s">
        <v>22</v>
      </c>
      <c r="M6" s="69">
        <v>-25853665.839999981</v>
      </c>
    </row>
    <row r="7" spans="2:13" x14ac:dyDescent="0.25">
      <c r="B7" s="61" t="s">
        <v>16</v>
      </c>
      <c r="C7" s="73">
        <v>-77060300.599999994</v>
      </c>
      <c r="E7" s="13" t="s">
        <v>16</v>
      </c>
      <c r="F7" s="69">
        <v>-77060300.599999994</v>
      </c>
      <c r="I7" s="2" t="s">
        <v>25</v>
      </c>
      <c r="J7" s="59">
        <v>9910142.9499999993</v>
      </c>
      <c r="L7" s="12" t="s">
        <v>25</v>
      </c>
      <c r="M7" s="69">
        <v>9910142.9499999993</v>
      </c>
    </row>
    <row r="8" spans="2:13" x14ac:dyDescent="0.25">
      <c r="B8" s="61" t="s">
        <v>24</v>
      </c>
      <c r="C8" s="73">
        <v>-141864.75</v>
      </c>
      <c r="E8" s="13" t="s">
        <v>24</v>
      </c>
      <c r="F8" s="69">
        <v>-141864.75</v>
      </c>
      <c r="I8" s="2" t="s">
        <v>31</v>
      </c>
      <c r="J8" s="59">
        <v>319183316.50000006</v>
      </c>
      <c r="L8" s="12" t="s">
        <v>31</v>
      </c>
      <c r="M8" s="69">
        <v>319183316.50000006</v>
      </c>
    </row>
    <row r="9" spans="2:13" x14ac:dyDescent="0.25">
      <c r="B9" s="61" t="s">
        <v>17</v>
      </c>
      <c r="C9" s="73">
        <v>-19692880.140000008</v>
      </c>
      <c r="E9" s="13" t="s">
        <v>17</v>
      </c>
      <c r="F9" s="69">
        <v>-19692880.140000008</v>
      </c>
      <c r="I9" s="2" t="s">
        <v>16</v>
      </c>
      <c r="J9" s="59">
        <v>-73940300.599999994</v>
      </c>
      <c r="L9" s="12" t="s">
        <v>16</v>
      </c>
      <c r="M9" s="69">
        <v>-73940300.599999994</v>
      </c>
    </row>
    <row r="10" spans="2:13" x14ac:dyDescent="0.25">
      <c r="B10" s="61" t="s">
        <v>20</v>
      </c>
      <c r="C10" s="73">
        <v>-1169024.1800000002</v>
      </c>
      <c r="E10" s="13" t="s">
        <v>20</v>
      </c>
      <c r="F10" s="69">
        <v>-1169024.1800000002</v>
      </c>
      <c r="I10" s="2" t="s">
        <v>18</v>
      </c>
      <c r="J10" s="59">
        <v>402742855.92000008</v>
      </c>
      <c r="L10" s="12" t="s">
        <v>18</v>
      </c>
      <c r="M10" s="69">
        <v>402742855.92000008</v>
      </c>
    </row>
    <row r="11" spans="2:13" x14ac:dyDescent="0.25">
      <c r="B11" s="61" t="s">
        <v>30</v>
      </c>
      <c r="C11" s="73"/>
      <c r="E11" s="13" t="s">
        <v>30</v>
      </c>
      <c r="I11" s="2" t="s">
        <v>29</v>
      </c>
      <c r="J11" s="59">
        <v>0</v>
      </c>
      <c r="L11" s="12" t="s">
        <v>29</v>
      </c>
      <c r="M11" s="69">
        <v>0</v>
      </c>
    </row>
    <row r="12" spans="2:13" x14ac:dyDescent="0.25">
      <c r="B12" s="61" t="s">
        <v>44</v>
      </c>
      <c r="C12" s="73">
        <v>-145747</v>
      </c>
      <c r="E12" s="13" t="s">
        <v>44</v>
      </c>
      <c r="F12" s="69">
        <v>-145747</v>
      </c>
      <c r="I12" s="2" t="s">
        <v>17</v>
      </c>
      <c r="J12" s="59">
        <v>10427749.999999993</v>
      </c>
      <c r="L12" s="12" t="s">
        <v>17</v>
      </c>
      <c r="M12" s="69">
        <v>10427749.999999993</v>
      </c>
    </row>
    <row r="13" spans="2:13" x14ac:dyDescent="0.25">
      <c r="B13" s="2" t="s">
        <v>31</v>
      </c>
      <c r="C13" s="59">
        <v>-114145339.56</v>
      </c>
      <c r="E13" s="13" t="s">
        <v>31</v>
      </c>
      <c r="F13" s="69">
        <v>-114145339.56</v>
      </c>
      <c r="I13" s="2" t="s">
        <v>20</v>
      </c>
      <c r="J13" s="59">
        <v>-289854.18000000017</v>
      </c>
      <c r="L13" s="12" t="s">
        <v>20</v>
      </c>
      <c r="M13" s="69">
        <v>-289854.18000000017</v>
      </c>
    </row>
    <row r="14" spans="2:13" x14ac:dyDescent="0.25">
      <c r="C14"/>
      <c r="E14" s="13"/>
      <c r="I14" s="2" t="s">
        <v>30</v>
      </c>
      <c r="J14" s="59"/>
      <c r="L14" s="12" t="s">
        <v>30</v>
      </c>
    </row>
    <row r="15" spans="2:13" x14ac:dyDescent="0.25">
      <c r="C15"/>
      <c r="E15" s="13"/>
      <c r="I15" s="2" t="s">
        <v>44</v>
      </c>
      <c r="J15" s="59">
        <v>-10747</v>
      </c>
      <c r="L15" s="12" t="s">
        <v>44</v>
      </c>
      <c r="M15" s="69">
        <v>-10747</v>
      </c>
    </row>
    <row r="16" spans="2:13" x14ac:dyDescent="0.25">
      <c r="C16"/>
      <c r="E16" s="13"/>
      <c r="I16" s="2" t="s">
        <v>45</v>
      </c>
      <c r="J16" s="59">
        <v>-2000000</v>
      </c>
      <c r="L16" s="12" t="s">
        <v>45</v>
      </c>
      <c r="M16" s="69">
        <v>-2000000</v>
      </c>
    </row>
    <row r="17" spans="2:13" x14ac:dyDescent="0.25">
      <c r="C17"/>
      <c r="E17" s="13"/>
      <c r="I17" s="2" t="s">
        <v>55</v>
      </c>
      <c r="J17" s="59">
        <v>-60000</v>
      </c>
      <c r="L17" s="12" t="s">
        <v>55</v>
      </c>
      <c r="M17" s="69">
        <v>-60000</v>
      </c>
    </row>
    <row r="18" spans="2:13" x14ac:dyDescent="0.25">
      <c r="C18"/>
      <c r="I18" s="2" t="s">
        <v>27</v>
      </c>
      <c r="J18" s="59">
        <v>-987000</v>
      </c>
      <c r="L18" s="12" t="s">
        <v>27</v>
      </c>
      <c r="M18" s="69">
        <v>-987000</v>
      </c>
    </row>
    <row r="19" spans="2:13" x14ac:dyDescent="0.25">
      <c r="I19" s="2" t="s">
        <v>19</v>
      </c>
      <c r="J19" s="59">
        <v>-1000000</v>
      </c>
      <c r="L19" s="12" t="s">
        <v>19</v>
      </c>
      <c r="M19" s="69">
        <v>-1000000</v>
      </c>
    </row>
    <row r="20" spans="2:13" x14ac:dyDescent="0.25">
      <c r="I20" s="2" t="s">
        <v>24</v>
      </c>
      <c r="J20" s="59">
        <v>8135.25</v>
      </c>
      <c r="L20" s="12" t="s">
        <v>24</v>
      </c>
      <c r="M20" s="69">
        <v>8135.25</v>
      </c>
    </row>
    <row r="21" spans="2:13" x14ac:dyDescent="0.25">
      <c r="B21" t="s">
        <v>61</v>
      </c>
      <c r="E21" s="12" t="s">
        <v>61</v>
      </c>
      <c r="I21" s="2" t="s">
        <v>23</v>
      </c>
      <c r="J21" s="59">
        <v>20000</v>
      </c>
      <c r="L21" s="12" t="s">
        <v>23</v>
      </c>
      <c r="M21" s="69">
        <v>20000</v>
      </c>
    </row>
    <row r="22" spans="2:13" x14ac:dyDescent="0.25">
      <c r="I22" s="2" t="s">
        <v>28</v>
      </c>
      <c r="J22" s="59">
        <v>208000</v>
      </c>
      <c r="L22" s="12" t="s">
        <v>28</v>
      </c>
      <c r="M22" s="69">
        <v>208000</v>
      </c>
    </row>
    <row r="23" spans="2:13" x14ac:dyDescent="0.25">
      <c r="B23" s="1" t="s">
        <v>29</v>
      </c>
      <c r="C23" t="s">
        <v>33</v>
      </c>
      <c r="E23" s="12" t="s">
        <v>29</v>
      </c>
      <c r="F23" s="69" t="s">
        <v>33</v>
      </c>
      <c r="I23" s="2" t="s">
        <v>61</v>
      </c>
      <c r="J23" s="59"/>
      <c r="L23" s="12" t="s">
        <v>61</v>
      </c>
    </row>
    <row r="24" spans="2:13" x14ac:dyDescent="0.25">
      <c r="B24" s="2" t="s">
        <v>27</v>
      </c>
      <c r="C24" s="59">
        <v>-987000</v>
      </c>
      <c r="E24" s="13" t="s">
        <v>27</v>
      </c>
      <c r="F24" s="69">
        <v>-987000</v>
      </c>
      <c r="I24" s="2" t="s">
        <v>31</v>
      </c>
      <c r="J24" s="59">
        <v>638366633.00000024</v>
      </c>
      <c r="L24" s="12" t="s">
        <v>31</v>
      </c>
      <c r="M24" s="69">
        <v>638366633.00000024</v>
      </c>
    </row>
    <row r="25" spans="2:13" x14ac:dyDescent="0.25">
      <c r="B25" s="2" t="s">
        <v>23</v>
      </c>
      <c r="C25" s="59">
        <v>20000</v>
      </c>
      <c r="E25" s="13" t="s">
        <v>23</v>
      </c>
      <c r="F25" s="69">
        <v>20000</v>
      </c>
      <c r="J25"/>
    </row>
    <row r="26" spans="2:13" x14ac:dyDescent="0.25">
      <c r="B26" s="2" t="s">
        <v>45</v>
      </c>
      <c r="C26" s="59">
        <v>-2000000</v>
      </c>
      <c r="E26" s="13" t="s">
        <v>45</v>
      </c>
      <c r="F26" s="69">
        <v>-2000000</v>
      </c>
      <c r="J26"/>
    </row>
    <row r="27" spans="2:13" x14ac:dyDescent="0.25">
      <c r="B27" s="2" t="s">
        <v>55</v>
      </c>
      <c r="C27" s="59">
        <v>-60000</v>
      </c>
      <c r="E27" s="13" t="s">
        <v>55</v>
      </c>
      <c r="F27" s="69">
        <v>-60000</v>
      </c>
    </row>
    <row r="28" spans="2:13" x14ac:dyDescent="0.25">
      <c r="B28" s="2" t="s">
        <v>28</v>
      </c>
      <c r="C28" s="59">
        <v>208000</v>
      </c>
      <c r="E28" s="13" t="s">
        <v>28</v>
      </c>
      <c r="F28" s="69">
        <v>208000</v>
      </c>
    </row>
    <row r="29" spans="2:13" x14ac:dyDescent="0.25">
      <c r="B29" s="2" t="s">
        <v>16</v>
      </c>
      <c r="C29" s="59">
        <v>3120000</v>
      </c>
      <c r="E29" s="13" t="s">
        <v>16</v>
      </c>
      <c r="F29" s="69">
        <v>3120000</v>
      </c>
    </row>
    <row r="30" spans="2:13" x14ac:dyDescent="0.25">
      <c r="B30" s="2" t="s">
        <v>18</v>
      </c>
      <c r="C30" s="59">
        <v>402742855.92000008</v>
      </c>
      <c r="E30" s="13" t="s">
        <v>18</v>
      </c>
      <c r="F30" s="69">
        <v>402742855.92000008</v>
      </c>
    </row>
    <row r="31" spans="2:13" x14ac:dyDescent="0.25">
      <c r="B31" s="2" t="s">
        <v>17</v>
      </c>
      <c r="C31" s="59">
        <v>30120630.140000001</v>
      </c>
      <c r="E31" s="12" t="s">
        <v>17</v>
      </c>
      <c r="F31" s="69">
        <v>30120630.140000001</v>
      </c>
    </row>
    <row r="32" spans="2:13" x14ac:dyDescent="0.25">
      <c r="B32" s="2" t="s">
        <v>20</v>
      </c>
      <c r="C32" s="59">
        <v>879170</v>
      </c>
      <c r="E32" s="12" t="s">
        <v>20</v>
      </c>
      <c r="F32" s="69">
        <v>879170</v>
      </c>
    </row>
    <row r="33" spans="2:6" x14ac:dyDescent="0.25">
      <c r="B33" s="2" t="s">
        <v>30</v>
      </c>
      <c r="C33" s="59"/>
      <c r="E33" s="12" t="s">
        <v>30</v>
      </c>
    </row>
    <row r="34" spans="2:6" x14ac:dyDescent="0.25">
      <c r="B34" s="2" t="s">
        <v>44</v>
      </c>
      <c r="C34" s="59">
        <v>135000</v>
      </c>
      <c r="E34" s="12" t="s">
        <v>44</v>
      </c>
      <c r="F34" s="69">
        <v>135000</v>
      </c>
    </row>
    <row r="35" spans="2:6" x14ac:dyDescent="0.25">
      <c r="B35" s="2" t="s">
        <v>24</v>
      </c>
      <c r="C35" s="59">
        <v>150000</v>
      </c>
      <c r="E35" s="12" t="s">
        <v>24</v>
      </c>
      <c r="F35" s="69">
        <v>150000</v>
      </c>
    </row>
    <row r="36" spans="2:6" x14ac:dyDescent="0.25">
      <c r="B36" s="2" t="s">
        <v>19</v>
      </c>
      <c r="C36" s="59">
        <v>-1000000</v>
      </c>
      <c r="E36" s="12" t="s">
        <v>19</v>
      </c>
      <c r="F36" s="69">
        <v>-1000000</v>
      </c>
    </row>
    <row r="37" spans="2:6" x14ac:dyDescent="0.25">
      <c r="B37" s="2" t="s">
        <v>31</v>
      </c>
      <c r="C37" s="59">
        <v>433328656.06000006</v>
      </c>
      <c r="E37" s="12" t="s">
        <v>31</v>
      </c>
      <c r="F37" s="69">
        <v>433328656.06000006</v>
      </c>
    </row>
    <row r="38" spans="2:6" x14ac:dyDescent="0.25">
      <c r="C38"/>
    </row>
    <row r="39" spans="2:6" x14ac:dyDescent="0.25">
      <c r="C39"/>
    </row>
    <row r="41" spans="2:6" x14ac:dyDescent="0.25">
      <c r="D41" s="56"/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25"/>
  <sheetViews>
    <sheetView zoomScale="85" zoomScaleNormal="85" workbookViewId="0">
      <pane ySplit="1" topLeftCell="A223" activePane="bottomLeft" state="frozen"/>
      <selection pane="bottomLeft" activeCell="C119" sqref="C119:C244"/>
    </sheetView>
  </sheetViews>
  <sheetFormatPr defaultColWidth="15.5703125" defaultRowHeight="12" x14ac:dyDescent="0.2"/>
  <cols>
    <col min="1" max="1" width="85.7109375" style="3" bestFit="1" customWidth="1"/>
    <col min="2" max="2" width="6.140625" style="3" customWidth="1"/>
    <col min="3" max="3" width="10" style="3" bestFit="1" customWidth="1"/>
    <col min="4" max="5" width="10.5703125" style="3" bestFit="1" customWidth="1"/>
    <col min="6" max="6" width="38.42578125" style="3" bestFit="1" customWidth="1"/>
    <col min="7" max="7" width="10.42578125" style="3" bestFit="1" customWidth="1"/>
    <col min="8" max="8" width="15" style="20" bestFit="1" customWidth="1"/>
    <col min="9" max="9" width="13.85546875" style="3" customWidth="1"/>
    <col min="10" max="10" width="17.5703125" style="3" bestFit="1" customWidth="1"/>
    <col min="11" max="11" width="38.42578125" style="3" bestFit="1" customWidth="1"/>
    <col min="12" max="12" width="20.7109375" style="3" bestFit="1" customWidth="1"/>
    <col min="13" max="13" width="9.7109375" style="3" bestFit="1" customWidth="1"/>
    <col min="14" max="16384" width="15.5703125" style="3"/>
  </cols>
  <sheetData>
    <row r="1" spans="1:13" s="32" customFormat="1" ht="24" customHeight="1" x14ac:dyDescent="0.25">
      <c r="A1" s="51" t="s">
        <v>71</v>
      </c>
      <c r="B1" s="51" t="s">
        <v>72</v>
      </c>
      <c r="C1" s="51" t="s">
        <v>35</v>
      </c>
      <c r="D1" s="51" t="s">
        <v>0</v>
      </c>
      <c r="E1" s="51" t="s">
        <v>73</v>
      </c>
      <c r="F1" s="51" t="s">
        <v>74</v>
      </c>
      <c r="G1" s="51" t="s">
        <v>75</v>
      </c>
      <c r="H1" s="60" t="s">
        <v>76</v>
      </c>
      <c r="I1" s="51" t="s">
        <v>77</v>
      </c>
      <c r="J1" s="51" t="s">
        <v>78</v>
      </c>
      <c r="K1" s="51" t="s">
        <v>79</v>
      </c>
      <c r="L1" s="51" t="s">
        <v>80</v>
      </c>
      <c r="M1" s="51" t="s">
        <v>81</v>
      </c>
    </row>
    <row r="2" spans="1:13" s="17" customFormat="1" ht="15" customHeight="1" x14ac:dyDescent="0.25">
      <c r="A2" s="74" t="s">
        <v>144</v>
      </c>
      <c r="B2" s="74" t="s">
        <v>19</v>
      </c>
      <c r="C2" s="75">
        <v>8789968</v>
      </c>
      <c r="D2" s="76">
        <v>44057</v>
      </c>
      <c r="E2" s="76">
        <v>44067</v>
      </c>
      <c r="F2" s="74" t="s">
        <v>96</v>
      </c>
      <c r="G2" s="75">
        <v>3.67279</v>
      </c>
      <c r="H2" s="75">
        <v>1000000</v>
      </c>
      <c r="I2" s="75">
        <v>0</v>
      </c>
      <c r="J2" s="74" t="s">
        <v>145</v>
      </c>
      <c r="K2" s="74" t="s">
        <v>146</v>
      </c>
      <c r="L2" s="74" t="s">
        <v>146</v>
      </c>
      <c r="M2" s="74" t="s">
        <v>146</v>
      </c>
    </row>
    <row r="3" spans="1:13" s="17" customFormat="1" ht="15" customHeight="1" x14ac:dyDescent="0.25">
      <c r="A3" s="74" t="s">
        <v>358</v>
      </c>
      <c r="B3" s="74" t="s">
        <v>19</v>
      </c>
      <c r="C3" s="75">
        <v>8816091</v>
      </c>
      <c r="D3" s="76">
        <v>44064</v>
      </c>
      <c r="E3" s="76">
        <v>44088</v>
      </c>
      <c r="F3" s="74" t="s">
        <v>96</v>
      </c>
      <c r="G3" s="75">
        <v>3.6730900000000002</v>
      </c>
      <c r="H3" s="75">
        <v>1000000</v>
      </c>
      <c r="I3" s="75">
        <v>0</v>
      </c>
      <c r="J3" s="74" t="s">
        <v>145</v>
      </c>
      <c r="K3" s="74" t="s">
        <v>146</v>
      </c>
      <c r="L3" s="74" t="s">
        <v>146</v>
      </c>
      <c r="M3" s="74" t="s">
        <v>146</v>
      </c>
    </row>
    <row r="4" spans="1:13" s="17" customFormat="1" ht="15" customHeight="1" x14ac:dyDescent="0.25">
      <c r="A4" s="74" t="s">
        <v>359</v>
      </c>
      <c r="B4" s="74" t="s">
        <v>19</v>
      </c>
      <c r="C4" s="75">
        <v>8816090</v>
      </c>
      <c r="D4" s="76">
        <v>44064</v>
      </c>
      <c r="E4" s="76">
        <v>44067</v>
      </c>
      <c r="F4" s="74" t="s">
        <v>96</v>
      </c>
      <c r="G4" s="75">
        <v>3.6726999999999999</v>
      </c>
      <c r="H4" s="75">
        <v>-1000000</v>
      </c>
      <c r="I4" s="75">
        <v>0</v>
      </c>
      <c r="J4" s="74" t="s">
        <v>145</v>
      </c>
      <c r="K4" s="74" t="s">
        <v>146</v>
      </c>
      <c r="L4" s="74" t="s">
        <v>146</v>
      </c>
      <c r="M4" s="74" t="s">
        <v>146</v>
      </c>
    </row>
    <row r="5" spans="1:13" s="17" customFormat="1" ht="15" customHeight="1" x14ac:dyDescent="0.25">
      <c r="A5" s="74" t="s">
        <v>148</v>
      </c>
      <c r="B5" s="74" t="s">
        <v>21</v>
      </c>
      <c r="C5" s="75">
        <v>8811286</v>
      </c>
      <c r="D5" s="76">
        <v>44063</v>
      </c>
      <c r="E5" s="76">
        <v>44067</v>
      </c>
      <c r="F5" s="74" t="s">
        <v>94</v>
      </c>
      <c r="G5" s="75">
        <v>0.71596000000000004</v>
      </c>
      <c r="H5" s="75">
        <v>-6000</v>
      </c>
      <c r="I5" s="75">
        <v>0</v>
      </c>
      <c r="J5" s="74" t="s">
        <v>145</v>
      </c>
      <c r="K5" s="74" t="s">
        <v>146</v>
      </c>
      <c r="L5" s="74" t="s">
        <v>146</v>
      </c>
      <c r="M5" s="74" t="s">
        <v>146</v>
      </c>
    </row>
    <row r="6" spans="1:13" s="17" customFormat="1" ht="15" customHeight="1" x14ac:dyDescent="0.25">
      <c r="A6" s="74" t="s">
        <v>147</v>
      </c>
      <c r="B6" s="74" t="s">
        <v>21</v>
      </c>
      <c r="C6" s="75">
        <v>8811111</v>
      </c>
      <c r="D6" s="76">
        <v>44063</v>
      </c>
      <c r="E6" s="76">
        <v>44067</v>
      </c>
      <c r="F6" s="74" t="s">
        <v>94</v>
      </c>
      <c r="G6" s="75">
        <v>0.71608000000000005</v>
      </c>
      <c r="H6" s="75">
        <v>-2000</v>
      </c>
      <c r="I6" s="75">
        <v>0</v>
      </c>
      <c r="J6" s="74" t="s">
        <v>145</v>
      </c>
      <c r="K6" s="74" t="s">
        <v>146</v>
      </c>
      <c r="L6" s="74" t="s">
        <v>146</v>
      </c>
      <c r="M6" s="74" t="s">
        <v>146</v>
      </c>
    </row>
    <row r="7" spans="1:13" s="17" customFormat="1" ht="15" customHeight="1" x14ac:dyDescent="0.25">
      <c r="A7" s="74" t="s">
        <v>360</v>
      </c>
      <c r="B7" s="74" t="s">
        <v>23</v>
      </c>
      <c r="C7" s="75">
        <v>8815027</v>
      </c>
      <c r="D7" s="76">
        <v>44064</v>
      </c>
      <c r="E7" s="76">
        <v>44067</v>
      </c>
      <c r="F7" s="74" t="s">
        <v>94</v>
      </c>
      <c r="G7" s="75">
        <v>1.3191999999999999</v>
      </c>
      <c r="H7" s="75">
        <v>-40000</v>
      </c>
      <c r="I7" s="75">
        <v>0</v>
      </c>
      <c r="J7" s="74" t="s">
        <v>145</v>
      </c>
      <c r="K7" s="74" t="s">
        <v>146</v>
      </c>
      <c r="L7" s="74" t="s">
        <v>146</v>
      </c>
      <c r="M7" s="74" t="s">
        <v>146</v>
      </c>
    </row>
    <row r="8" spans="1:13" s="17" customFormat="1" ht="15" customHeight="1" x14ac:dyDescent="0.25">
      <c r="A8" s="74" t="s">
        <v>361</v>
      </c>
      <c r="B8" s="74" t="s">
        <v>23</v>
      </c>
      <c r="C8" s="75">
        <v>8815026</v>
      </c>
      <c r="D8" s="76">
        <v>44064</v>
      </c>
      <c r="E8" s="76">
        <v>44067</v>
      </c>
      <c r="F8" s="74" t="s">
        <v>94</v>
      </c>
      <c r="G8" s="75">
        <v>1.3193900000000001</v>
      </c>
      <c r="H8" s="75">
        <v>20000</v>
      </c>
      <c r="I8" s="75">
        <v>0</v>
      </c>
      <c r="J8" s="74" t="s">
        <v>145</v>
      </c>
      <c r="K8" s="74" t="s">
        <v>146</v>
      </c>
      <c r="L8" s="74" t="s">
        <v>146</v>
      </c>
      <c r="M8" s="74" t="s">
        <v>146</v>
      </c>
    </row>
    <row r="9" spans="1:13" s="17" customFormat="1" ht="15" customHeight="1" x14ac:dyDescent="0.25">
      <c r="A9" s="74" t="s">
        <v>362</v>
      </c>
      <c r="B9" s="74" t="s">
        <v>44</v>
      </c>
      <c r="C9" s="75">
        <v>8816329</v>
      </c>
      <c r="D9" s="76">
        <v>44064</v>
      </c>
      <c r="E9" s="76">
        <v>44068</v>
      </c>
      <c r="F9" s="74" t="s">
        <v>94</v>
      </c>
      <c r="G9" s="75">
        <v>0.91356000000000004</v>
      </c>
      <c r="H9" s="75">
        <v>-135000</v>
      </c>
      <c r="I9" s="75">
        <v>0</v>
      </c>
      <c r="J9" s="74" t="s">
        <v>145</v>
      </c>
      <c r="K9" s="74" t="s">
        <v>146</v>
      </c>
      <c r="L9" s="74" t="s">
        <v>146</v>
      </c>
      <c r="M9" s="74" t="s">
        <v>146</v>
      </c>
    </row>
    <row r="10" spans="1:13" s="17" customFormat="1" ht="15" customHeight="1" x14ac:dyDescent="0.25">
      <c r="A10" s="74" t="s">
        <v>363</v>
      </c>
      <c r="B10" s="74" t="s">
        <v>44</v>
      </c>
      <c r="C10" s="75">
        <v>8815441</v>
      </c>
      <c r="D10" s="76">
        <v>44064</v>
      </c>
      <c r="E10" s="76">
        <v>44067</v>
      </c>
      <c r="F10" s="74" t="s">
        <v>354</v>
      </c>
      <c r="G10" s="75">
        <v>44.15</v>
      </c>
      <c r="H10" s="75">
        <v>145747</v>
      </c>
      <c r="I10" s="75">
        <v>0</v>
      </c>
      <c r="J10" s="74" t="s">
        <v>145</v>
      </c>
      <c r="K10" s="74" t="s">
        <v>354</v>
      </c>
      <c r="L10" s="74" t="s">
        <v>364</v>
      </c>
      <c r="M10" s="74" t="s">
        <v>146</v>
      </c>
    </row>
    <row r="11" spans="1:13" s="17" customFormat="1" ht="15" customHeight="1" x14ac:dyDescent="0.25">
      <c r="A11" s="74" t="s">
        <v>149</v>
      </c>
      <c r="B11" s="74" t="s">
        <v>45</v>
      </c>
      <c r="C11" s="75">
        <v>8761911</v>
      </c>
      <c r="D11" s="76">
        <v>44053</v>
      </c>
      <c r="E11" s="76">
        <v>44068</v>
      </c>
      <c r="F11" s="74" t="s">
        <v>94</v>
      </c>
      <c r="G11" s="75">
        <v>6.97797</v>
      </c>
      <c r="H11" s="75">
        <v>2000000</v>
      </c>
      <c r="I11" s="75">
        <v>0</v>
      </c>
      <c r="J11" s="74" t="s">
        <v>145</v>
      </c>
      <c r="K11" s="74" t="s">
        <v>146</v>
      </c>
      <c r="L11" s="74" t="s">
        <v>146</v>
      </c>
      <c r="M11" s="74" t="s">
        <v>146</v>
      </c>
    </row>
    <row r="12" spans="1:13" s="17" customFormat="1" ht="15" customHeight="1" x14ac:dyDescent="0.25">
      <c r="A12" s="74" t="s">
        <v>163</v>
      </c>
      <c r="B12" s="74" t="s">
        <v>22</v>
      </c>
      <c r="C12" s="75">
        <v>8697055</v>
      </c>
      <c r="D12" s="76">
        <v>44036</v>
      </c>
      <c r="E12" s="76">
        <v>44225</v>
      </c>
      <c r="F12" s="74" t="s">
        <v>128</v>
      </c>
      <c r="G12" s="75">
        <v>47.56</v>
      </c>
      <c r="H12" s="75">
        <v>10000</v>
      </c>
      <c r="I12" s="75">
        <v>0</v>
      </c>
      <c r="J12" s="74" t="s">
        <v>145</v>
      </c>
      <c r="K12" s="74" t="s">
        <v>128</v>
      </c>
      <c r="L12" s="74" t="s">
        <v>164</v>
      </c>
      <c r="M12" s="74" t="s">
        <v>146</v>
      </c>
    </row>
    <row r="13" spans="1:13" s="17" customFormat="1" ht="15" customHeight="1" x14ac:dyDescent="0.25">
      <c r="A13" s="74" t="s">
        <v>180</v>
      </c>
      <c r="B13" s="74" t="s">
        <v>22</v>
      </c>
      <c r="C13" s="75">
        <v>8755604</v>
      </c>
      <c r="D13" s="76">
        <v>44050</v>
      </c>
      <c r="E13" s="76">
        <v>44172</v>
      </c>
      <c r="F13" s="74" t="s">
        <v>105</v>
      </c>
      <c r="G13" s="75">
        <v>47.55</v>
      </c>
      <c r="H13" s="75">
        <v>30000</v>
      </c>
      <c r="I13" s="75">
        <v>0</v>
      </c>
      <c r="J13" s="74" t="s">
        <v>145</v>
      </c>
      <c r="K13" s="74" t="s">
        <v>105</v>
      </c>
      <c r="L13" s="74" t="s">
        <v>169</v>
      </c>
      <c r="M13" s="74" t="s">
        <v>146</v>
      </c>
    </row>
    <row r="14" spans="1:13" s="17" customFormat="1" ht="15" customHeight="1" x14ac:dyDescent="0.25">
      <c r="A14" s="74" t="s">
        <v>167</v>
      </c>
      <c r="B14" s="74" t="s">
        <v>22</v>
      </c>
      <c r="C14" s="75">
        <v>8642601</v>
      </c>
      <c r="D14" s="76">
        <v>44025</v>
      </c>
      <c r="E14" s="76">
        <v>44155</v>
      </c>
      <c r="F14" s="74" t="s">
        <v>88</v>
      </c>
      <c r="G14" s="75">
        <v>46</v>
      </c>
      <c r="H14" s="75">
        <v>-500000</v>
      </c>
      <c r="I14" s="75">
        <v>0</v>
      </c>
      <c r="J14" s="74" t="s">
        <v>145</v>
      </c>
      <c r="K14" s="74" t="s">
        <v>88</v>
      </c>
      <c r="L14" s="74" t="s">
        <v>159</v>
      </c>
      <c r="M14" s="74" t="s">
        <v>146</v>
      </c>
    </row>
    <row r="15" spans="1:13" s="17" customFormat="1" ht="15" customHeight="1" x14ac:dyDescent="0.25">
      <c r="A15" s="74" t="s">
        <v>181</v>
      </c>
      <c r="B15" s="74" t="s">
        <v>22</v>
      </c>
      <c r="C15" s="75">
        <v>8748105</v>
      </c>
      <c r="D15" s="76">
        <v>44049</v>
      </c>
      <c r="E15" s="76">
        <v>44124</v>
      </c>
      <c r="F15" s="74" t="s">
        <v>127</v>
      </c>
      <c r="G15" s="75">
        <v>47.9</v>
      </c>
      <c r="H15" s="75">
        <v>5182</v>
      </c>
      <c r="I15" s="75">
        <v>0</v>
      </c>
      <c r="J15" s="74" t="s">
        <v>145</v>
      </c>
      <c r="K15" s="74" t="s">
        <v>127</v>
      </c>
      <c r="L15" s="74" t="s">
        <v>155</v>
      </c>
      <c r="M15" s="74" t="s">
        <v>146</v>
      </c>
    </row>
    <row r="16" spans="1:13" s="17" customFormat="1" ht="15" customHeight="1" x14ac:dyDescent="0.25">
      <c r="A16" s="74" t="s">
        <v>162</v>
      </c>
      <c r="B16" s="74" t="s">
        <v>22</v>
      </c>
      <c r="C16" s="75">
        <v>8684112</v>
      </c>
      <c r="D16" s="76">
        <v>44034</v>
      </c>
      <c r="E16" s="76">
        <v>44133</v>
      </c>
      <c r="F16" s="74" t="s">
        <v>88</v>
      </c>
      <c r="G16" s="75">
        <v>46.75</v>
      </c>
      <c r="H16" s="75">
        <v>-500000</v>
      </c>
      <c r="I16" s="75">
        <v>0</v>
      </c>
      <c r="J16" s="74" t="s">
        <v>145</v>
      </c>
      <c r="K16" s="74" t="s">
        <v>88</v>
      </c>
      <c r="L16" s="74" t="s">
        <v>159</v>
      </c>
      <c r="M16" s="74" t="s">
        <v>146</v>
      </c>
    </row>
    <row r="17" spans="1:13" s="17" customFormat="1" ht="15" customHeight="1" x14ac:dyDescent="0.25">
      <c r="A17" s="74" t="s">
        <v>365</v>
      </c>
      <c r="B17" s="74" t="s">
        <v>22</v>
      </c>
      <c r="C17" s="75">
        <v>8813439</v>
      </c>
      <c r="D17" s="76">
        <v>44064</v>
      </c>
      <c r="E17" s="76">
        <v>44068</v>
      </c>
      <c r="F17" s="74" t="s">
        <v>94</v>
      </c>
      <c r="G17" s="75">
        <v>1.1870799999999999</v>
      </c>
      <c r="H17" s="75">
        <v>100000</v>
      </c>
      <c r="I17" s="75">
        <v>0</v>
      </c>
      <c r="J17" s="74" t="s">
        <v>145</v>
      </c>
      <c r="K17" s="74" t="s">
        <v>146</v>
      </c>
      <c r="L17" s="74" t="s">
        <v>146</v>
      </c>
      <c r="M17" s="74" t="s">
        <v>146</v>
      </c>
    </row>
    <row r="18" spans="1:13" s="17" customFormat="1" ht="15" customHeight="1" x14ac:dyDescent="0.25">
      <c r="A18" s="74" t="s">
        <v>187</v>
      </c>
      <c r="B18" s="74" t="s">
        <v>22</v>
      </c>
      <c r="C18" s="75">
        <v>8702521</v>
      </c>
      <c r="D18" s="76">
        <v>44039</v>
      </c>
      <c r="E18" s="76">
        <v>44175</v>
      </c>
      <c r="F18" s="74" t="s">
        <v>88</v>
      </c>
      <c r="G18" s="75">
        <v>47.6</v>
      </c>
      <c r="H18" s="75">
        <v>-500000</v>
      </c>
      <c r="I18" s="75">
        <v>0</v>
      </c>
      <c r="J18" s="74" t="s">
        <v>145</v>
      </c>
      <c r="K18" s="74" t="s">
        <v>88</v>
      </c>
      <c r="L18" s="74" t="s">
        <v>159</v>
      </c>
      <c r="M18" s="74" t="s">
        <v>146</v>
      </c>
    </row>
    <row r="19" spans="1:13" s="17" customFormat="1" ht="15" customHeight="1" x14ac:dyDescent="0.25">
      <c r="A19" s="74" t="s">
        <v>366</v>
      </c>
      <c r="B19" s="74" t="s">
        <v>22</v>
      </c>
      <c r="C19" s="75">
        <v>8813305</v>
      </c>
      <c r="D19" s="76">
        <v>44064</v>
      </c>
      <c r="E19" s="76">
        <v>44068</v>
      </c>
      <c r="F19" s="74" t="s">
        <v>356</v>
      </c>
      <c r="G19" s="75">
        <v>47.12</v>
      </c>
      <c r="H19" s="75">
        <v>-100000</v>
      </c>
      <c r="I19" s="75">
        <v>0</v>
      </c>
      <c r="J19" s="74" t="s">
        <v>145</v>
      </c>
      <c r="K19" s="74" t="s">
        <v>356</v>
      </c>
      <c r="L19" s="74" t="s">
        <v>364</v>
      </c>
      <c r="M19" s="74" t="s">
        <v>146</v>
      </c>
    </row>
    <row r="20" spans="1:13" s="17" customFormat="1" ht="15" customHeight="1" x14ac:dyDescent="0.25">
      <c r="A20" s="74" t="s">
        <v>191</v>
      </c>
      <c r="B20" s="74" t="s">
        <v>22</v>
      </c>
      <c r="C20" s="75">
        <v>8726940</v>
      </c>
      <c r="D20" s="76">
        <v>44043</v>
      </c>
      <c r="E20" s="76">
        <v>44089</v>
      </c>
      <c r="F20" s="74" t="s">
        <v>124</v>
      </c>
      <c r="G20" s="75">
        <v>47.9</v>
      </c>
      <c r="H20" s="75">
        <v>108619</v>
      </c>
      <c r="I20" s="75">
        <v>0</v>
      </c>
      <c r="J20" s="74" t="s">
        <v>145</v>
      </c>
      <c r="K20" s="74" t="s">
        <v>124</v>
      </c>
      <c r="L20" s="74" t="s">
        <v>155</v>
      </c>
      <c r="M20" s="74" t="s">
        <v>146</v>
      </c>
    </row>
    <row r="21" spans="1:13" s="17" customFormat="1" ht="15" customHeight="1" x14ac:dyDescent="0.25">
      <c r="A21" s="74" t="s">
        <v>168</v>
      </c>
      <c r="B21" s="74" t="s">
        <v>22</v>
      </c>
      <c r="C21" s="75">
        <v>8696546</v>
      </c>
      <c r="D21" s="76">
        <v>44036</v>
      </c>
      <c r="E21" s="76">
        <v>44119</v>
      </c>
      <c r="F21" s="74" t="s">
        <v>105</v>
      </c>
      <c r="G21" s="75">
        <v>47.4</v>
      </c>
      <c r="H21" s="75">
        <v>85000</v>
      </c>
      <c r="I21" s="75">
        <v>0</v>
      </c>
      <c r="J21" s="74" t="s">
        <v>145</v>
      </c>
      <c r="K21" s="74" t="s">
        <v>105</v>
      </c>
      <c r="L21" s="74" t="s">
        <v>169</v>
      </c>
      <c r="M21" s="74" t="s">
        <v>146</v>
      </c>
    </row>
    <row r="22" spans="1:13" s="17" customFormat="1" ht="15" customHeight="1" x14ac:dyDescent="0.25">
      <c r="A22" s="74" t="s">
        <v>185</v>
      </c>
      <c r="B22" s="74" t="s">
        <v>22</v>
      </c>
      <c r="C22" s="75">
        <v>8696241</v>
      </c>
      <c r="D22" s="76">
        <v>44036</v>
      </c>
      <c r="E22" s="76">
        <v>44130</v>
      </c>
      <c r="F22" s="74" t="s">
        <v>129</v>
      </c>
      <c r="G22" s="75">
        <v>47.5</v>
      </c>
      <c r="H22" s="75">
        <v>500000</v>
      </c>
      <c r="I22" s="75">
        <v>0</v>
      </c>
      <c r="J22" s="74" t="s">
        <v>145</v>
      </c>
      <c r="K22" s="74" t="s">
        <v>146</v>
      </c>
      <c r="L22" s="74" t="s">
        <v>146</v>
      </c>
      <c r="M22" s="74" t="s">
        <v>146</v>
      </c>
    </row>
    <row r="23" spans="1:13" s="17" customFormat="1" ht="15" customHeight="1" x14ac:dyDescent="0.25">
      <c r="A23" s="74" t="s">
        <v>190</v>
      </c>
      <c r="B23" s="74" t="s">
        <v>22</v>
      </c>
      <c r="C23" s="75">
        <v>8720900</v>
      </c>
      <c r="D23" s="76">
        <v>44042</v>
      </c>
      <c r="E23" s="76">
        <v>44180</v>
      </c>
      <c r="F23" s="74" t="s">
        <v>88</v>
      </c>
      <c r="G23" s="75">
        <v>47.6</v>
      </c>
      <c r="H23" s="75">
        <v>-500000</v>
      </c>
      <c r="I23" s="75">
        <v>0</v>
      </c>
      <c r="J23" s="74" t="s">
        <v>145</v>
      </c>
      <c r="K23" s="74" t="s">
        <v>88</v>
      </c>
      <c r="L23" s="74" t="s">
        <v>159</v>
      </c>
      <c r="M23" s="74" t="s">
        <v>146</v>
      </c>
    </row>
    <row r="24" spans="1:13" s="17" customFormat="1" ht="15" customHeight="1" x14ac:dyDescent="0.25">
      <c r="A24" s="74" t="s">
        <v>171</v>
      </c>
      <c r="B24" s="74" t="s">
        <v>22</v>
      </c>
      <c r="C24" s="75">
        <v>8708139</v>
      </c>
      <c r="D24" s="76">
        <v>44040</v>
      </c>
      <c r="E24" s="76">
        <v>44078</v>
      </c>
      <c r="F24" s="74" t="s">
        <v>88</v>
      </c>
      <c r="G24" s="75">
        <v>1.1739999999999999</v>
      </c>
      <c r="H24" s="75">
        <v>-500000</v>
      </c>
      <c r="I24" s="75">
        <v>0</v>
      </c>
      <c r="J24" s="74" t="s">
        <v>145</v>
      </c>
      <c r="K24" s="74" t="s">
        <v>88</v>
      </c>
      <c r="L24" s="74" t="s">
        <v>159</v>
      </c>
      <c r="M24" s="74" t="s">
        <v>146</v>
      </c>
    </row>
    <row r="25" spans="1:13" s="17" customFormat="1" ht="15" customHeight="1" x14ac:dyDescent="0.25">
      <c r="A25" s="74" t="s">
        <v>182</v>
      </c>
      <c r="B25" s="74" t="s">
        <v>22</v>
      </c>
      <c r="C25" s="75">
        <v>8740200</v>
      </c>
      <c r="D25" s="76">
        <v>44048</v>
      </c>
      <c r="E25" s="76">
        <v>44084</v>
      </c>
      <c r="F25" s="74" t="s">
        <v>129</v>
      </c>
      <c r="G25" s="75">
        <v>47.39</v>
      </c>
      <c r="H25" s="75">
        <v>191579.43</v>
      </c>
      <c r="I25" s="75">
        <v>0</v>
      </c>
      <c r="J25" s="74" t="s">
        <v>145</v>
      </c>
      <c r="K25" s="74" t="s">
        <v>146</v>
      </c>
      <c r="L25" s="74" t="s">
        <v>146</v>
      </c>
      <c r="M25" s="74" t="s">
        <v>146</v>
      </c>
    </row>
    <row r="26" spans="1:13" s="17" customFormat="1" ht="15" customHeight="1" x14ac:dyDescent="0.25">
      <c r="A26" s="74" t="s">
        <v>223</v>
      </c>
      <c r="B26" s="74" t="s">
        <v>22</v>
      </c>
      <c r="C26" s="75">
        <v>5507229</v>
      </c>
      <c r="D26" s="76">
        <v>43265</v>
      </c>
      <c r="E26" s="76">
        <v>44662</v>
      </c>
      <c r="F26" s="74" t="s">
        <v>111</v>
      </c>
      <c r="G26" s="75">
        <v>44.95</v>
      </c>
      <c r="H26" s="75">
        <v>22246.94</v>
      </c>
      <c r="I26" s="75">
        <v>0</v>
      </c>
      <c r="J26" s="74" t="s">
        <v>145</v>
      </c>
      <c r="K26" s="74" t="s">
        <v>146</v>
      </c>
      <c r="L26" s="74" t="s">
        <v>146</v>
      </c>
      <c r="M26" s="74" t="s">
        <v>146</v>
      </c>
    </row>
    <row r="27" spans="1:13" s="17" customFormat="1" ht="15" customHeight="1" x14ac:dyDescent="0.25">
      <c r="A27" s="74" t="s">
        <v>367</v>
      </c>
      <c r="B27" s="74" t="s">
        <v>22</v>
      </c>
      <c r="C27" s="75">
        <v>8813761</v>
      </c>
      <c r="D27" s="76">
        <v>44064</v>
      </c>
      <c r="E27" s="76">
        <v>44068</v>
      </c>
      <c r="F27" s="74" t="s">
        <v>133</v>
      </c>
      <c r="G27" s="75">
        <v>1.1845000000000001</v>
      </c>
      <c r="H27" s="75">
        <v>-2000000</v>
      </c>
      <c r="I27" s="75">
        <v>0</v>
      </c>
      <c r="J27" s="74" t="s">
        <v>145</v>
      </c>
      <c r="K27" s="74" t="s">
        <v>146</v>
      </c>
      <c r="L27" s="74" t="s">
        <v>146</v>
      </c>
      <c r="M27" s="74" t="s">
        <v>146</v>
      </c>
    </row>
    <row r="28" spans="1:13" s="17" customFormat="1" ht="15" customHeight="1" x14ac:dyDescent="0.25">
      <c r="A28" s="74" t="s">
        <v>368</v>
      </c>
      <c r="B28" s="74" t="s">
        <v>22</v>
      </c>
      <c r="C28" s="75">
        <v>8813753</v>
      </c>
      <c r="D28" s="76">
        <v>44064</v>
      </c>
      <c r="E28" s="76">
        <v>44068</v>
      </c>
      <c r="F28" s="74" t="s">
        <v>133</v>
      </c>
      <c r="G28" s="75">
        <v>1.1841900000000001</v>
      </c>
      <c r="H28" s="75">
        <v>2000000</v>
      </c>
      <c r="I28" s="75">
        <v>0</v>
      </c>
      <c r="J28" s="74" t="s">
        <v>145</v>
      </c>
      <c r="K28" s="74" t="s">
        <v>146</v>
      </c>
      <c r="L28" s="74" t="s">
        <v>146</v>
      </c>
      <c r="M28" s="74" t="s">
        <v>146</v>
      </c>
    </row>
    <row r="29" spans="1:13" s="17" customFormat="1" ht="15" customHeight="1" x14ac:dyDescent="0.25">
      <c r="A29" s="74" t="s">
        <v>369</v>
      </c>
      <c r="B29" s="74" t="s">
        <v>22</v>
      </c>
      <c r="C29" s="75">
        <v>8813743</v>
      </c>
      <c r="D29" s="76">
        <v>44064</v>
      </c>
      <c r="E29" s="76">
        <v>44068</v>
      </c>
      <c r="F29" s="74" t="s">
        <v>130</v>
      </c>
      <c r="G29" s="75">
        <v>1.1845000000000001</v>
      </c>
      <c r="H29" s="75">
        <v>2000000</v>
      </c>
      <c r="I29" s="75">
        <v>0</v>
      </c>
      <c r="J29" s="74" t="s">
        <v>145</v>
      </c>
      <c r="K29" s="74" t="s">
        <v>146</v>
      </c>
      <c r="L29" s="74" t="s">
        <v>146</v>
      </c>
      <c r="M29" s="74" t="s">
        <v>146</v>
      </c>
    </row>
    <row r="30" spans="1:13" s="17" customFormat="1" ht="15" customHeight="1" x14ac:dyDescent="0.25">
      <c r="A30" s="74" t="s">
        <v>370</v>
      </c>
      <c r="B30" s="74" t="s">
        <v>22</v>
      </c>
      <c r="C30" s="75">
        <v>8813548</v>
      </c>
      <c r="D30" s="76">
        <v>44064</v>
      </c>
      <c r="E30" s="76">
        <v>44067</v>
      </c>
      <c r="F30" s="74" t="s">
        <v>118</v>
      </c>
      <c r="G30" s="75">
        <v>1.1876</v>
      </c>
      <c r="H30" s="75">
        <v>400000</v>
      </c>
      <c r="I30" s="75">
        <v>0</v>
      </c>
      <c r="J30" s="74" t="s">
        <v>145</v>
      </c>
      <c r="K30" s="74" t="s">
        <v>118</v>
      </c>
      <c r="L30" s="74" t="s">
        <v>155</v>
      </c>
      <c r="M30" s="74" t="s">
        <v>146</v>
      </c>
    </row>
    <row r="31" spans="1:13" s="17" customFormat="1" ht="15" customHeight="1" x14ac:dyDescent="0.25">
      <c r="A31" s="74" t="s">
        <v>371</v>
      </c>
      <c r="B31" s="74" t="s">
        <v>22</v>
      </c>
      <c r="C31" s="75">
        <v>8813701</v>
      </c>
      <c r="D31" s="76">
        <v>44064</v>
      </c>
      <c r="E31" s="76">
        <v>44068</v>
      </c>
      <c r="F31" s="74" t="s">
        <v>133</v>
      </c>
      <c r="G31" s="75">
        <v>1.1873</v>
      </c>
      <c r="H31" s="75">
        <v>1000000</v>
      </c>
      <c r="I31" s="75">
        <v>0</v>
      </c>
      <c r="J31" s="74" t="s">
        <v>145</v>
      </c>
      <c r="K31" s="74" t="s">
        <v>146</v>
      </c>
      <c r="L31" s="74" t="s">
        <v>146</v>
      </c>
      <c r="M31" s="74" t="s">
        <v>146</v>
      </c>
    </row>
    <row r="32" spans="1:13" s="17" customFormat="1" ht="15" customHeight="1" x14ac:dyDescent="0.25">
      <c r="A32" s="74" t="s">
        <v>372</v>
      </c>
      <c r="B32" s="74" t="s">
        <v>22</v>
      </c>
      <c r="C32" s="75">
        <v>8813579</v>
      </c>
      <c r="D32" s="76">
        <v>44064</v>
      </c>
      <c r="E32" s="76">
        <v>44068</v>
      </c>
      <c r="F32" s="74" t="s">
        <v>96</v>
      </c>
      <c r="G32" s="75">
        <v>1.1873</v>
      </c>
      <c r="H32" s="75">
        <v>-1000000</v>
      </c>
      <c r="I32" s="75">
        <v>0</v>
      </c>
      <c r="J32" s="74" t="s">
        <v>145</v>
      </c>
      <c r="K32" s="74" t="s">
        <v>146</v>
      </c>
      <c r="L32" s="74" t="s">
        <v>146</v>
      </c>
      <c r="M32" s="74" t="s">
        <v>146</v>
      </c>
    </row>
    <row r="33" spans="1:13" s="17" customFormat="1" ht="15" customHeight="1" x14ac:dyDescent="0.25">
      <c r="A33" s="74" t="s">
        <v>373</v>
      </c>
      <c r="B33" s="74" t="s">
        <v>22</v>
      </c>
      <c r="C33" s="75">
        <v>8813735</v>
      </c>
      <c r="D33" s="76">
        <v>44064</v>
      </c>
      <c r="E33" s="76">
        <v>44068</v>
      </c>
      <c r="F33" s="74" t="s">
        <v>130</v>
      </c>
      <c r="G33" s="75">
        <v>1.1841900000000001</v>
      </c>
      <c r="H33" s="75">
        <v>-2000000</v>
      </c>
      <c r="I33" s="75">
        <v>0</v>
      </c>
      <c r="J33" s="74" t="s">
        <v>145</v>
      </c>
      <c r="K33" s="74" t="s">
        <v>146</v>
      </c>
      <c r="L33" s="74" t="s">
        <v>146</v>
      </c>
      <c r="M33" s="74" t="s">
        <v>146</v>
      </c>
    </row>
    <row r="34" spans="1:13" s="17" customFormat="1" ht="15" customHeight="1" x14ac:dyDescent="0.25">
      <c r="A34" s="74" t="s">
        <v>225</v>
      </c>
      <c r="B34" s="74" t="s">
        <v>22</v>
      </c>
      <c r="C34" s="75">
        <v>5506509</v>
      </c>
      <c r="D34" s="76">
        <v>43265</v>
      </c>
      <c r="E34" s="76">
        <v>44298</v>
      </c>
      <c r="F34" s="74" t="s">
        <v>111</v>
      </c>
      <c r="G34" s="75">
        <v>44.95</v>
      </c>
      <c r="H34" s="75">
        <v>22246.94</v>
      </c>
      <c r="I34" s="75">
        <v>0</v>
      </c>
      <c r="J34" s="74" t="s">
        <v>145</v>
      </c>
      <c r="K34" s="74" t="s">
        <v>146</v>
      </c>
      <c r="L34" s="74" t="s">
        <v>146</v>
      </c>
      <c r="M34" s="74" t="s">
        <v>146</v>
      </c>
    </row>
    <row r="35" spans="1:13" s="17" customFormat="1" ht="15" customHeight="1" x14ac:dyDescent="0.25">
      <c r="A35" s="74" t="s">
        <v>175</v>
      </c>
      <c r="B35" s="74" t="s">
        <v>22</v>
      </c>
      <c r="C35" s="75">
        <v>8601465</v>
      </c>
      <c r="D35" s="76">
        <v>44014</v>
      </c>
      <c r="E35" s="76">
        <v>44074</v>
      </c>
      <c r="F35" s="74" t="s">
        <v>119</v>
      </c>
      <c r="G35" s="75">
        <v>45.58</v>
      </c>
      <c r="H35" s="75">
        <v>75000</v>
      </c>
      <c r="I35" s="75">
        <v>0</v>
      </c>
      <c r="J35" s="74" t="s">
        <v>145</v>
      </c>
      <c r="K35" s="74" t="s">
        <v>146</v>
      </c>
      <c r="L35" s="74" t="s">
        <v>146</v>
      </c>
      <c r="M35" s="74" t="s">
        <v>146</v>
      </c>
    </row>
    <row r="36" spans="1:13" s="17" customFormat="1" ht="15" customHeight="1" x14ac:dyDescent="0.25">
      <c r="A36" s="74" t="s">
        <v>173</v>
      </c>
      <c r="B36" s="74" t="s">
        <v>22</v>
      </c>
      <c r="C36" s="75">
        <v>5507266</v>
      </c>
      <c r="D36" s="76">
        <v>43265</v>
      </c>
      <c r="E36" s="76">
        <v>44722</v>
      </c>
      <c r="F36" s="74" t="s">
        <v>111</v>
      </c>
      <c r="G36" s="75">
        <v>44.95</v>
      </c>
      <c r="H36" s="75">
        <v>22246.94</v>
      </c>
      <c r="I36" s="75">
        <v>0</v>
      </c>
      <c r="J36" s="74" t="s">
        <v>145</v>
      </c>
      <c r="K36" s="74" t="s">
        <v>146</v>
      </c>
      <c r="L36" s="74" t="s">
        <v>146</v>
      </c>
      <c r="M36" s="74" t="s">
        <v>146</v>
      </c>
    </row>
    <row r="37" spans="1:13" s="17" customFormat="1" ht="15" customHeight="1" x14ac:dyDescent="0.25">
      <c r="A37" s="74" t="s">
        <v>174</v>
      </c>
      <c r="B37" s="74" t="s">
        <v>22</v>
      </c>
      <c r="C37" s="75">
        <v>5507245</v>
      </c>
      <c r="D37" s="76">
        <v>43265</v>
      </c>
      <c r="E37" s="76">
        <v>44691</v>
      </c>
      <c r="F37" s="74" t="s">
        <v>111</v>
      </c>
      <c r="G37" s="75">
        <v>44.95</v>
      </c>
      <c r="H37" s="75">
        <v>22246.94</v>
      </c>
      <c r="I37" s="75">
        <v>0</v>
      </c>
      <c r="J37" s="74" t="s">
        <v>145</v>
      </c>
      <c r="K37" s="74" t="s">
        <v>146</v>
      </c>
      <c r="L37" s="74" t="s">
        <v>146</v>
      </c>
      <c r="M37" s="74" t="s">
        <v>146</v>
      </c>
    </row>
    <row r="38" spans="1:13" s="17" customFormat="1" ht="15" customHeight="1" x14ac:dyDescent="0.25">
      <c r="A38" s="74" t="s">
        <v>210</v>
      </c>
      <c r="B38" s="74" t="s">
        <v>22</v>
      </c>
      <c r="C38" s="75">
        <v>5510100</v>
      </c>
      <c r="D38" s="76">
        <v>43266</v>
      </c>
      <c r="E38" s="76">
        <v>44357</v>
      </c>
      <c r="F38" s="74" t="s">
        <v>111</v>
      </c>
      <c r="G38" s="75">
        <v>44.95</v>
      </c>
      <c r="H38" s="75">
        <v>22246.94</v>
      </c>
      <c r="I38" s="75">
        <v>0</v>
      </c>
      <c r="J38" s="74" t="s">
        <v>145</v>
      </c>
      <c r="K38" s="74" t="s">
        <v>146</v>
      </c>
      <c r="L38" s="74" t="s">
        <v>146</v>
      </c>
      <c r="M38" s="74" t="s">
        <v>146</v>
      </c>
    </row>
    <row r="39" spans="1:13" s="17" customFormat="1" ht="15" customHeight="1" x14ac:dyDescent="0.25">
      <c r="A39" s="74" t="s">
        <v>203</v>
      </c>
      <c r="B39" s="74" t="s">
        <v>22</v>
      </c>
      <c r="C39" s="75">
        <v>5506303</v>
      </c>
      <c r="D39" s="76">
        <v>43265</v>
      </c>
      <c r="E39" s="76">
        <v>44084</v>
      </c>
      <c r="F39" s="74" t="s">
        <v>111</v>
      </c>
      <c r="G39" s="75">
        <v>44.95</v>
      </c>
      <c r="H39" s="75">
        <v>22246.94</v>
      </c>
      <c r="I39" s="75">
        <v>0</v>
      </c>
      <c r="J39" s="74" t="s">
        <v>145</v>
      </c>
      <c r="K39" s="74" t="s">
        <v>146</v>
      </c>
      <c r="L39" s="74" t="s">
        <v>146</v>
      </c>
      <c r="M39" s="74" t="s">
        <v>146</v>
      </c>
    </row>
    <row r="40" spans="1:13" s="17" customFormat="1" ht="15" customHeight="1" x14ac:dyDescent="0.25">
      <c r="A40" s="74" t="s">
        <v>212</v>
      </c>
      <c r="B40" s="74" t="s">
        <v>22</v>
      </c>
      <c r="C40" s="75">
        <v>5506309</v>
      </c>
      <c r="D40" s="76">
        <v>43265</v>
      </c>
      <c r="E40" s="76">
        <v>44117</v>
      </c>
      <c r="F40" s="74" t="s">
        <v>111</v>
      </c>
      <c r="G40" s="75">
        <v>44.95</v>
      </c>
      <c r="H40" s="75">
        <v>22246.94</v>
      </c>
      <c r="I40" s="75">
        <v>0</v>
      </c>
      <c r="J40" s="74" t="s">
        <v>145</v>
      </c>
      <c r="K40" s="74" t="s">
        <v>146</v>
      </c>
      <c r="L40" s="74" t="s">
        <v>146</v>
      </c>
      <c r="M40" s="74" t="s">
        <v>146</v>
      </c>
    </row>
    <row r="41" spans="1:13" s="17" customFormat="1" ht="15" customHeight="1" x14ac:dyDescent="0.25">
      <c r="A41" s="74" t="s">
        <v>213</v>
      </c>
      <c r="B41" s="74" t="s">
        <v>22</v>
      </c>
      <c r="C41" s="75">
        <v>5506318</v>
      </c>
      <c r="D41" s="76">
        <v>43265</v>
      </c>
      <c r="E41" s="76">
        <v>44145</v>
      </c>
      <c r="F41" s="74" t="s">
        <v>111</v>
      </c>
      <c r="G41" s="75">
        <v>44.95</v>
      </c>
      <c r="H41" s="75">
        <v>22246.94</v>
      </c>
      <c r="I41" s="75">
        <v>0</v>
      </c>
      <c r="J41" s="74" t="s">
        <v>145</v>
      </c>
      <c r="K41" s="74" t="s">
        <v>146</v>
      </c>
      <c r="L41" s="74" t="s">
        <v>146</v>
      </c>
      <c r="M41" s="74" t="s">
        <v>146</v>
      </c>
    </row>
    <row r="42" spans="1:13" s="17" customFormat="1" ht="15" customHeight="1" x14ac:dyDescent="0.25">
      <c r="A42" s="74" t="s">
        <v>215</v>
      </c>
      <c r="B42" s="74" t="s">
        <v>22</v>
      </c>
      <c r="C42" s="75">
        <v>5506322</v>
      </c>
      <c r="D42" s="76">
        <v>43265</v>
      </c>
      <c r="E42" s="76">
        <v>44175</v>
      </c>
      <c r="F42" s="74" t="s">
        <v>111</v>
      </c>
      <c r="G42" s="75">
        <v>44.95</v>
      </c>
      <c r="H42" s="75">
        <v>22246.94</v>
      </c>
      <c r="I42" s="75">
        <v>0</v>
      </c>
      <c r="J42" s="74" t="s">
        <v>145</v>
      </c>
      <c r="K42" s="74" t="s">
        <v>146</v>
      </c>
      <c r="L42" s="74" t="s">
        <v>146</v>
      </c>
      <c r="M42" s="74" t="s">
        <v>146</v>
      </c>
    </row>
    <row r="43" spans="1:13" s="17" customFormat="1" ht="15" customHeight="1" x14ac:dyDescent="0.25">
      <c r="A43" s="74" t="s">
        <v>209</v>
      </c>
      <c r="B43" s="74" t="s">
        <v>22</v>
      </c>
      <c r="C43" s="75">
        <v>5506466</v>
      </c>
      <c r="D43" s="76">
        <v>43265</v>
      </c>
      <c r="E43" s="76">
        <v>44207</v>
      </c>
      <c r="F43" s="74" t="s">
        <v>111</v>
      </c>
      <c r="G43" s="75">
        <v>44.95</v>
      </c>
      <c r="H43" s="75">
        <v>22246.94</v>
      </c>
      <c r="I43" s="75">
        <v>0</v>
      </c>
      <c r="J43" s="74" t="s">
        <v>145</v>
      </c>
      <c r="K43" s="74" t="s">
        <v>146</v>
      </c>
      <c r="L43" s="74" t="s">
        <v>146</v>
      </c>
      <c r="M43" s="74" t="s">
        <v>146</v>
      </c>
    </row>
    <row r="44" spans="1:13" s="17" customFormat="1" ht="15" customHeight="1" x14ac:dyDescent="0.25">
      <c r="A44" s="74" t="s">
        <v>170</v>
      </c>
      <c r="B44" s="74" t="s">
        <v>22</v>
      </c>
      <c r="C44" s="75">
        <v>5507289</v>
      </c>
      <c r="D44" s="76">
        <v>43265</v>
      </c>
      <c r="E44" s="76">
        <v>44784</v>
      </c>
      <c r="F44" s="74" t="s">
        <v>111</v>
      </c>
      <c r="G44" s="75">
        <v>44.95</v>
      </c>
      <c r="H44" s="75">
        <v>22246.94</v>
      </c>
      <c r="I44" s="75">
        <v>0</v>
      </c>
      <c r="J44" s="74" t="s">
        <v>145</v>
      </c>
      <c r="K44" s="74" t="s">
        <v>146</v>
      </c>
      <c r="L44" s="74" t="s">
        <v>146</v>
      </c>
      <c r="M44" s="74" t="s">
        <v>146</v>
      </c>
    </row>
    <row r="45" spans="1:13" s="17" customFormat="1" ht="15" customHeight="1" x14ac:dyDescent="0.25">
      <c r="A45" s="74" t="s">
        <v>201</v>
      </c>
      <c r="B45" s="74" t="s">
        <v>22</v>
      </c>
      <c r="C45" s="75">
        <v>5506502</v>
      </c>
      <c r="D45" s="76">
        <v>43265</v>
      </c>
      <c r="E45" s="76">
        <v>44265</v>
      </c>
      <c r="F45" s="74" t="s">
        <v>111</v>
      </c>
      <c r="G45" s="75">
        <v>44.95</v>
      </c>
      <c r="H45" s="75">
        <v>22246.94</v>
      </c>
      <c r="I45" s="75">
        <v>0</v>
      </c>
      <c r="J45" s="74" t="s">
        <v>145</v>
      </c>
      <c r="K45" s="74" t="s">
        <v>146</v>
      </c>
      <c r="L45" s="74" t="s">
        <v>146</v>
      </c>
      <c r="M45" s="74" t="s">
        <v>146</v>
      </c>
    </row>
    <row r="46" spans="1:13" s="17" customFormat="1" ht="15" customHeight="1" x14ac:dyDescent="0.25">
      <c r="A46" s="74" t="s">
        <v>178</v>
      </c>
      <c r="B46" s="74" t="s">
        <v>22</v>
      </c>
      <c r="C46" s="75">
        <v>5507316</v>
      </c>
      <c r="D46" s="76">
        <v>43265</v>
      </c>
      <c r="E46" s="76">
        <v>44816</v>
      </c>
      <c r="F46" s="74" t="s">
        <v>111</v>
      </c>
      <c r="G46" s="75">
        <v>44.95</v>
      </c>
      <c r="H46" s="75">
        <v>22246.94</v>
      </c>
      <c r="I46" s="75">
        <v>0</v>
      </c>
      <c r="J46" s="74" t="s">
        <v>145</v>
      </c>
      <c r="K46" s="74" t="s">
        <v>146</v>
      </c>
      <c r="L46" s="74" t="s">
        <v>146</v>
      </c>
      <c r="M46" s="74" t="s">
        <v>146</v>
      </c>
    </row>
    <row r="47" spans="1:13" s="17" customFormat="1" ht="15" customHeight="1" x14ac:dyDescent="0.25">
      <c r="A47" s="74" t="s">
        <v>226</v>
      </c>
      <c r="B47" s="74" t="s">
        <v>22</v>
      </c>
      <c r="C47" s="75">
        <v>5506525</v>
      </c>
      <c r="D47" s="76">
        <v>43265</v>
      </c>
      <c r="E47" s="76">
        <v>44326</v>
      </c>
      <c r="F47" s="74" t="s">
        <v>111</v>
      </c>
      <c r="G47" s="75">
        <v>44.95</v>
      </c>
      <c r="H47" s="75">
        <v>22246.94</v>
      </c>
      <c r="I47" s="75">
        <v>0</v>
      </c>
      <c r="J47" s="74" t="s">
        <v>145</v>
      </c>
      <c r="K47" s="74" t="s">
        <v>146</v>
      </c>
      <c r="L47" s="74" t="s">
        <v>146</v>
      </c>
      <c r="M47" s="74" t="s">
        <v>146</v>
      </c>
    </row>
    <row r="48" spans="1:13" s="17" customFormat="1" ht="15" customHeight="1" x14ac:dyDescent="0.25">
      <c r="A48" s="74" t="s">
        <v>228</v>
      </c>
      <c r="B48" s="74" t="s">
        <v>22</v>
      </c>
      <c r="C48" s="75">
        <v>5506610</v>
      </c>
      <c r="D48" s="76">
        <v>43265</v>
      </c>
      <c r="E48" s="76">
        <v>44389</v>
      </c>
      <c r="F48" s="74" t="s">
        <v>111</v>
      </c>
      <c r="G48" s="75">
        <v>44.95</v>
      </c>
      <c r="H48" s="75">
        <v>22246.94</v>
      </c>
      <c r="I48" s="75">
        <v>0</v>
      </c>
      <c r="J48" s="74" t="s">
        <v>145</v>
      </c>
      <c r="K48" s="74" t="s">
        <v>146</v>
      </c>
      <c r="L48" s="74" t="s">
        <v>146</v>
      </c>
      <c r="M48" s="74" t="s">
        <v>146</v>
      </c>
    </row>
    <row r="49" spans="1:13" s="17" customFormat="1" ht="15" customHeight="1" x14ac:dyDescent="0.25">
      <c r="A49" s="74" t="s">
        <v>229</v>
      </c>
      <c r="B49" s="74" t="s">
        <v>22</v>
      </c>
      <c r="C49" s="75">
        <v>5506622</v>
      </c>
      <c r="D49" s="76">
        <v>43265</v>
      </c>
      <c r="E49" s="76">
        <v>44418</v>
      </c>
      <c r="F49" s="74" t="s">
        <v>111</v>
      </c>
      <c r="G49" s="75">
        <v>44.95</v>
      </c>
      <c r="H49" s="75">
        <v>22246.94</v>
      </c>
      <c r="I49" s="75">
        <v>0</v>
      </c>
      <c r="J49" s="74" t="s">
        <v>145</v>
      </c>
      <c r="K49" s="74" t="s">
        <v>146</v>
      </c>
      <c r="L49" s="74" t="s">
        <v>146</v>
      </c>
      <c r="M49" s="74" t="s">
        <v>146</v>
      </c>
    </row>
    <row r="50" spans="1:13" s="17" customFormat="1" ht="15" customHeight="1" x14ac:dyDescent="0.25">
      <c r="A50" s="74" t="s">
        <v>231</v>
      </c>
      <c r="B50" s="74" t="s">
        <v>22</v>
      </c>
      <c r="C50" s="75">
        <v>5506854</v>
      </c>
      <c r="D50" s="76">
        <v>43265</v>
      </c>
      <c r="E50" s="76">
        <v>44449</v>
      </c>
      <c r="F50" s="74" t="s">
        <v>111</v>
      </c>
      <c r="G50" s="75">
        <v>44.95</v>
      </c>
      <c r="H50" s="75">
        <v>22246.94</v>
      </c>
      <c r="I50" s="75">
        <v>0</v>
      </c>
      <c r="J50" s="74" t="s">
        <v>145</v>
      </c>
      <c r="K50" s="74" t="s">
        <v>146</v>
      </c>
      <c r="L50" s="74" t="s">
        <v>146</v>
      </c>
      <c r="M50" s="74" t="s">
        <v>146</v>
      </c>
    </row>
    <row r="51" spans="1:13" s="17" customFormat="1" ht="15" customHeight="1" x14ac:dyDescent="0.25">
      <c r="A51" s="74" t="s">
        <v>232</v>
      </c>
      <c r="B51" s="74" t="s">
        <v>22</v>
      </c>
      <c r="C51" s="75">
        <v>5506897</v>
      </c>
      <c r="D51" s="76">
        <v>43265</v>
      </c>
      <c r="E51" s="76">
        <v>44481</v>
      </c>
      <c r="F51" s="74" t="s">
        <v>111</v>
      </c>
      <c r="G51" s="75">
        <v>44.95</v>
      </c>
      <c r="H51" s="75">
        <v>22246.94</v>
      </c>
      <c r="I51" s="75">
        <v>0</v>
      </c>
      <c r="J51" s="74" t="s">
        <v>145</v>
      </c>
      <c r="K51" s="74" t="s">
        <v>146</v>
      </c>
      <c r="L51" s="74" t="s">
        <v>146</v>
      </c>
      <c r="M51" s="74" t="s">
        <v>146</v>
      </c>
    </row>
    <row r="52" spans="1:13" s="17" customFormat="1" ht="15" customHeight="1" x14ac:dyDescent="0.25">
      <c r="A52" s="74" t="s">
        <v>233</v>
      </c>
      <c r="B52" s="74" t="s">
        <v>22</v>
      </c>
      <c r="C52" s="75">
        <v>5506923</v>
      </c>
      <c r="D52" s="76">
        <v>43265</v>
      </c>
      <c r="E52" s="76">
        <v>44510</v>
      </c>
      <c r="F52" s="74" t="s">
        <v>111</v>
      </c>
      <c r="G52" s="75">
        <v>44.95</v>
      </c>
      <c r="H52" s="75">
        <v>22246.94</v>
      </c>
      <c r="I52" s="75">
        <v>0</v>
      </c>
      <c r="J52" s="74" t="s">
        <v>145</v>
      </c>
      <c r="K52" s="74" t="s">
        <v>146</v>
      </c>
      <c r="L52" s="74" t="s">
        <v>146</v>
      </c>
      <c r="M52" s="74" t="s">
        <v>146</v>
      </c>
    </row>
    <row r="53" spans="1:13" s="17" customFormat="1" ht="15" customHeight="1" x14ac:dyDescent="0.25">
      <c r="A53" s="74" t="s">
        <v>234</v>
      </c>
      <c r="B53" s="74" t="s">
        <v>22</v>
      </c>
      <c r="C53" s="75">
        <v>5506939</v>
      </c>
      <c r="D53" s="76">
        <v>43265</v>
      </c>
      <c r="E53" s="76">
        <v>44540</v>
      </c>
      <c r="F53" s="74" t="s">
        <v>111</v>
      </c>
      <c r="G53" s="75">
        <v>44.95</v>
      </c>
      <c r="H53" s="75">
        <v>22246.94</v>
      </c>
      <c r="I53" s="75">
        <v>0</v>
      </c>
      <c r="J53" s="74" t="s">
        <v>145</v>
      </c>
      <c r="K53" s="74" t="s">
        <v>146</v>
      </c>
      <c r="L53" s="74" t="s">
        <v>146</v>
      </c>
      <c r="M53" s="74" t="s">
        <v>146</v>
      </c>
    </row>
    <row r="54" spans="1:13" s="17" customFormat="1" ht="15" customHeight="1" x14ac:dyDescent="0.25">
      <c r="A54" s="74" t="s">
        <v>219</v>
      </c>
      <c r="B54" s="74" t="s">
        <v>22</v>
      </c>
      <c r="C54" s="75">
        <v>5506958</v>
      </c>
      <c r="D54" s="76">
        <v>43265</v>
      </c>
      <c r="E54" s="76">
        <v>44571</v>
      </c>
      <c r="F54" s="74" t="s">
        <v>111</v>
      </c>
      <c r="G54" s="75">
        <v>44.95</v>
      </c>
      <c r="H54" s="75">
        <v>22246.94</v>
      </c>
      <c r="I54" s="75">
        <v>0</v>
      </c>
      <c r="J54" s="74" t="s">
        <v>145</v>
      </c>
      <c r="K54" s="74" t="s">
        <v>146</v>
      </c>
      <c r="L54" s="74" t="s">
        <v>146</v>
      </c>
      <c r="M54" s="74" t="s">
        <v>146</v>
      </c>
    </row>
    <row r="55" spans="1:13" s="17" customFormat="1" ht="15" customHeight="1" x14ac:dyDescent="0.25">
      <c r="A55" s="74" t="s">
        <v>224</v>
      </c>
      <c r="B55" s="74" t="s">
        <v>22</v>
      </c>
      <c r="C55" s="75">
        <v>5507183</v>
      </c>
      <c r="D55" s="76">
        <v>43265</v>
      </c>
      <c r="E55" s="76">
        <v>44602</v>
      </c>
      <c r="F55" s="74" t="s">
        <v>111</v>
      </c>
      <c r="G55" s="75">
        <v>44.95</v>
      </c>
      <c r="H55" s="75">
        <v>22246.94</v>
      </c>
      <c r="I55" s="75">
        <v>0</v>
      </c>
      <c r="J55" s="74" t="s">
        <v>145</v>
      </c>
      <c r="K55" s="74" t="s">
        <v>146</v>
      </c>
      <c r="L55" s="74" t="s">
        <v>146</v>
      </c>
      <c r="M55" s="74" t="s">
        <v>146</v>
      </c>
    </row>
    <row r="56" spans="1:13" s="17" customFormat="1" ht="15" customHeight="1" x14ac:dyDescent="0.25">
      <c r="A56" s="74" t="s">
        <v>221</v>
      </c>
      <c r="B56" s="74" t="s">
        <v>22</v>
      </c>
      <c r="C56" s="75">
        <v>5507207</v>
      </c>
      <c r="D56" s="76">
        <v>43265</v>
      </c>
      <c r="E56" s="76">
        <v>44630</v>
      </c>
      <c r="F56" s="74" t="s">
        <v>111</v>
      </c>
      <c r="G56" s="75">
        <v>44.95</v>
      </c>
      <c r="H56" s="75">
        <v>22246.94</v>
      </c>
      <c r="I56" s="75">
        <v>0</v>
      </c>
      <c r="J56" s="74" t="s">
        <v>145</v>
      </c>
      <c r="K56" s="74" t="s">
        <v>146</v>
      </c>
      <c r="L56" s="74" t="s">
        <v>146</v>
      </c>
      <c r="M56" s="74" t="s">
        <v>146</v>
      </c>
    </row>
    <row r="57" spans="1:13" s="17" customFormat="1" ht="15" customHeight="1" x14ac:dyDescent="0.25">
      <c r="A57" s="74" t="s">
        <v>200</v>
      </c>
      <c r="B57" s="74" t="s">
        <v>22</v>
      </c>
      <c r="C57" s="75">
        <v>5506491</v>
      </c>
      <c r="D57" s="76">
        <v>43265</v>
      </c>
      <c r="E57" s="76">
        <v>44237</v>
      </c>
      <c r="F57" s="74" t="s">
        <v>111</v>
      </c>
      <c r="G57" s="75">
        <v>44.95</v>
      </c>
      <c r="H57" s="75">
        <v>22246.94</v>
      </c>
      <c r="I57" s="75">
        <v>0</v>
      </c>
      <c r="J57" s="74" t="s">
        <v>145</v>
      </c>
      <c r="K57" s="74" t="s">
        <v>146</v>
      </c>
      <c r="L57" s="74" t="s">
        <v>146</v>
      </c>
      <c r="M57" s="74" t="s">
        <v>146</v>
      </c>
    </row>
    <row r="58" spans="1:13" s="17" customFormat="1" ht="15" customHeight="1" x14ac:dyDescent="0.25">
      <c r="A58" s="74" t="s">
        <v>207</v>
      </c>
      <c r="B58" s="74" t="s">
        <v>22</v>
      </c>
      <c r="C58" s="75">
        <v>8034484</v>
      </c>
      <c r="D58" s="76">
        <v>43881</v>
      </c>
      <c r="E58" s="76">
        <v>44104</v>
      </c>
      <c r="F58" s="74" t="s">
        <v>96</v>
      </c>
      <c r="G58" s="75">
        <v>41.36</v>
      </c>
      <c r="H58" s="75">
        <v>-730000</v>
      </c>
      <c r="I58" s="75">
        <v>0</v>
      </c>
      <c r="J58" s="74" t="s">
        <v>145</v>
      </c>
      <c r="K58" s="74" t="s">
        <v>146</v>
      </c>
      <c r="L58" s="74" t="s">
        <v>146</v>
      </c>
      <c r="M58" s="74" t="s">
        <v>146</v>
      </c>
    </row>
    <row r="59" spans="1:13" s="17" customFormat="1" ht="15" customHeight="1" x14ac:dyDescent="0.25">
      <c r="A59" s="74" t="s">
        <v>202</v>
      </c>
      <c r="B59" s="74" t="s">
        <v>22</v>
      </c>
      <c r="C59" s="75">
        <v>8601477</v>
      </c>
      <c r="D59" s="76">
        <v>44014</v>
      </c>
      <c r="E59" s="76">
        <v>44104</v>
      </c>
      <c r="F59" s="74" t="s">
        <v>119</v>
      </c>
      <c r="G59" s="75">
        <v>45.62</v>
      </c>
      <c r="H59" s="75">
        <v>180000</v>
      </c>
      <c r="I59" s="75">
        <v>0</v>
      </c>
      <c r="J59" s="74" t="s">
        <v>145</v>
      </c>
      <c r="K59" s="74" t="s">
        <v>146</v>
      </c>
      <c r="L59" s="74" t="s">
        <v>146</v>
      </c>
      <c r="M59" s="74" t="s">
        <v>146</v>
      </c>
    </row>
    <row r="60" spans="1:13" s="17" customFormat="1" ht="15" customHeight="1" x14ac:dyDescent="0.25">
      <c r="A60" s="74" t="s">
        <v>220</v>
      </c>
      <c r="B60" s="74" t="s">
        <v>22</v>
      </c>
      <c r="C60" s="75">
        <v>8562266</v>
      </c>
      <c r="D60" s="76">
        <v>44005</v>
      </c>
      <c r="E60" s="76">
        <v>44131</v>
      </c>
      <c r="F60" s="74" t="s">
        <v>121</v>
      </c>
      <c r="G60" s="75">
        <v>45.36</v>
      </c>
      <c r="H60" s="75">
        <v>1250000</v>
      </c>
      <c r="I60" s="75">
        <v>0</v>
      </c>
      <c r="J60" s="74" t="s">
        <v>145</v>
      </c>
      <c r="K60" s="74" t="s">
        <v>146</v>
      </c>
      <c r="L60" s="74" t="s">
        <v>146</v>
      </c>
      <c r="M60" s="74" t="s">
        <v>146</v>
      </c>
    </row>
    <row r="61" spans="1:13" s="17" customFormat="1" ht="15" customHeight="1" x14ac:dyDescent="0.25">
      <c r="A61" s="74" t="s">
        <v>216</v>
      </c>
      <c r="B61" s="74" t="s">
        <v>22</v>
      </c>
      <c r="C61" s="75">
        <v>8181377</v>
      </c>
      <c r="D61" s="76">
        <v>43909</v>
      </c>
      <c r="E61" s="76">
        <v>44119</v>
      </c>
      <c r="F61" s="74" t="s">
        <v>88</v>
      </c>
      <c r="G61" s="75">
        <v>43.25</v>
      </c>
      <c r="H61" s="75">
        <v>-500000</v>
      </c>
      <c r="I61" s="75">
        <v>0</v>
      </c>
      <c r="J61" s="74" t="s">
        <v>145</v>
      </c>
      <c r="K61" s="74" t="s">
        <v>88</v>
      </c>
      <c r="L61" s="74" t="s">
        <v>159</v>
      </c>
      <c r="M61" s="74" t="s">
        <v>146</v>
      </c>
    </row>
    <row r="62" spans="1:13" s="17" customFormat="1" ht="15" customHeight="1" x14ac:dyDescent="0.25">
      <c r="A62" s="74" t="s">
        <v>197</v>
      </c>
      <c r="B62" s="74" t="s">
        <v>22</v>
      </c>
      <c r="C62" s="75">
        <v>8159760</v>
      </c>
      <c r="D62" s="76">
        <v>43906</v>
      </c>
      <c r="E62" s="76">
        <v>44119</v>
      </c>
      <c r="F62" s="74" t="s">
        <v>88</v>
      </c>
      <c r="G62" s="75">
        <v>43.4</v>
      </c>
      <c r="H62" s="75">
        <v>-1000000</v>
      </c>
      <c r="I62" s="75">
        <v>0</v>
      </c>
      <c r="J62" s="74" t="s">
        <v>145</v>
      </c>
      <c r="K62" s="74" t="s">
        <v>88</v>
      </c>
      <c r="L62" s="74" t="s">
        <v>159</v>
      </c>
      <c r="M62" s="74" t="s">
        <v>146</v>
      </c>
    </row>
    <row r="63" spans="1:13" s="17" customFormat="1" ht="15" customHeight="1" x14ac:dyDescent="0.25">
      <c r="A63" s="74" t="s">
        <v>196</v>
      </c>
      <c r="B63" s="74" t="s">
        <v>22</v>
      </c>
      <c r="C63" s="75">
        <v>8133631</v>
      </c>
      <c r="D63" s="76">
        <v>43901</v>
      </c>
      <c r="E63" s="76">
        <v>44119</v>
      </c>
      <c r="F63" s="74" t="s">
        <v>88</v>
      </c>
      <c r="G63" s="75">
        <v>43.2</v>
      </c>
      <c r="H63" s="75">
        <v>-1000000</v>
      </c>
      <c r="I63" s="75">
        <v>0</v>
      </c>
      <c r="J63" s="74" t="s">
        <v>145</v>
      </c>
      <c r="K63" s="74" t="s">
        <v>88</v>
      </c>
      <c r="L63" s="74" t="s">
        <v>159</v>
      </c>
      <c r="M63" s="74" t="s">
        <v>146</v>
      </c>
    </row>
    <row r="64" spans="1:13" s="17" customFormat="1" ht="15" customHeight="1" x14ac:dyDescent="0.25">
      <c r="A64" s="74" t="s">
        <v>199</v>
      </c>
      <c r="B64" s="74" t="s">
        <v>22</v>
      </c>
      <c r="C64" s="75">
        <v>8131218</v>
      </c>
      <c r="D64" s="76">
        <v>43900</v>
      </c>
      <c r="E64" s="76">
        <v>44104</v>
      </c>
      <c r="F64" s="74" t="s">
        <v>88</v>
      </c>
      <c r="G64" s="75">
        <v>43.1</v>
      </c>
      <c r="H64" s="75">
        <v>-1000000</v>
      </c>
      <c r="I64" s="75">
        <v>0</v>
      </c>
      <c r="J64" s="74" t="s">
        <v>145</v>
      </c>
      <c r="K64" s="74" t="s">
        <v>88</v>
      </c>
      <c r="L64" s="74" t="s">
        <v>159</v>
      </c>
      <c r="M64" s="74" t="s">
        <v>146</v>
      </c>
    </row>
    <row r="65" spans="1:13" s="17" customFormat="1" ht="15" customHeight="1" x14ac:dyDescent="0.25">
      <c r="A65" s="74" t="s">
        <v>214</v>
      </c>
      <c r="B65" s="74" t="s">
        <v>22</v>
      </c>
      <c r="C65" s="75">
        <v>8114992</v>
      </c>
      <c r="D65" s="76">
        <v>43896</v>
      </c>
      <c r="E65" s="76">
        <v>44104</v>
      </c>
      <c r="F65" s="74" t="s">
        <v>88</v>
      </c>
      <c r="G65" s="75">
        <v>42.15</v>
      </c>
      <c r="H65" s="75">
        <v>-1000000</v>
      </c>
      <c r="I65" s="75">
        <v>0</v>
      </c>
      <c r="J65" s="74" t="s">
        <v>145</v>
      </c>
      <c r="K65" s="74" t="s">
        <v>88</v>
      </c>
      <c r="L65" s="74" t="s">
        <v>159</v>
      </c>
      <c r="M65" s="74" t="s">
        <v>146</v>
      </c>
    </row>
    <row r="66" spans="1:13" s="17" customFormat="1" ht="15" customHeight="1" x14ac:dyDescent="0.25">
      <c r="A66" s="74" t="s">
        <v>211</v>
      </c>
      <c r="B66" s="74" t="s">
        <v>22</v>
      </c>
      <c r="C66" s="75">
        <v>8080331</v>
      </c>
      <c r="D66" s="76">
        <v>43892</v>
      </c>
      <c r="E66" s="76">
        <v>44104</v>
      </c>
      <c r="F66" s="74" t="s">
        <v>96</v>
      </c>
      <c r="G66" s="75">
        <v>41.97</v>
      </c>
      <c r="H66" s="75">
        <v>-735000</v>
      </c>
      <c r="I66" s="75">
        <v>0</v>
      </c>
      <c r="J66" s="74" t="s">
        <v>145</v>
      </c>
      <c r="K66" s="74" t="s">
        <v>146</v>
      </c>
      <c r="L66" s="74" t="s">
        <v>146</v>
      </c>
      <c r="M66" s="74" t="s">
        <v>146</v>
      </c>
    </row>
    <row r="67" spans="1:13" s="17" customFormat="1" ht="15" customHeight="1" x14ac:dyDescent="0.25">
      <c r="A67" s="74" t="s">
        <v>172</v>
      </c>
      <c r="B67" s="74" t="s">
        <v>22</v>
      </c>
      <c r="C67" s="75">
        <v>5507279</v>
      </c>
      <c r="D67" s="76">
        <v>43265</v>
      </c>
      <c r="E67" s="76">
        <v>44753</v>
      </c>
      <c r="F67" s="74" t="s">
        <v>111</v>
      </c>
      <c r="G67" s="75">
        <v>44.95</v>
      </c>
      <c r="H67" s="75">
        <v>22246.94</v>
      </c>
      <c r="I67" s="75">
        <v>0</v>
      </c>
      <c r="J67" s="74" t="s">
        <v>145</v>
      </c>
      <c r="K67" s="74" t="s">
        <v>146</v>
      </c>
      <c r="L67" s="74" t="s">
        <v>146</v>
      </c>
      <c r="M67" s="74" t="s">
        <v>146</v>
      </c>
    </row>
    <row r="68" spans="1:13" s="17" customFormat="1" ht="15" customHeight="1" x14ac:dyDescent="0.25">
      <c r="A68" s="74" t="s">
        <v>208</v>
      </c>
      <c r="B68" s="74" t="s">
        <v>22</v>
      </c>
      <c r="C68" s="75">
        <v>8034234</v>
      </c>
      <c r="D68" s="76">
        <v>43881</v>
      </c>
      <c r="E68" s="76">
        <v>44071</v>
      </c>
      <c r="F68" s="74" t="s">
        <v>88</v>
      </c>
      <c r="G68" s="75">
        <v>41.25</v>
      </c>
      <c r="H68" s="75">
        <v>-1000000</v>
      </c>
      <c r="I68" s="75">
        <v>0</v>
      </c>
      <c r="J68" s="74" t="s">
        <v>145</v>
      </c>
      <c r="K68" s="74" t="s">
        <v>88</v>
      </c>
      <c r="L68" s="74" t="s">
        <v>159</v>
      </c>
      <c r="M68" s="74" t="s">
        <v>146</v>
      </c>
    </row>
    <row r="69" spans="1:13" s="17" customFormat="1" ht="15" customHeight="1" x14ac:dyDescent="0.25">
      <c r="A69" s="74" t="s">
        <v>189</v>
      </c>
      <c r="B69" s="74" t="s">
        <v>22</v>
      </c>
      <c r="C69" s="75">
        <v>8606667</v>
      </c>
      <c r="D69" s="76">
        <v>44015</v>
      </c>
      <c r="E69" s="76">
        <v>44134</v>
      </c>
      <c r="F69" s="74" t="s">
        <v>119</v>
      </c>
      <c r="G69" s="75">
        <v>45.33</v>
      </c>
      <c r="H69" s="75">
        <v>150000</v>
      </c>
      <c r="I69" s="75">
        <v>0</v>
      </c>
      <c r="J69" s="74" t="s">
        <v>145</v>
      </c>
      <c r="K69" s="74" t="s">
        <v>146</v>
      </c>
      <c r="L69" s="74" t="s">
        <v>146</v>
      </c>
      <c r="M69" s="74" t="s">
        <v>146</v>
      </c>
    </row>
    <row r="70" spans="1:13" s="17" customFormat="1" ht="15" customHeight="1" x14ac:dyDescent="0.25">
      <c r="A70" s="74" t="s">
        <v>184</v>
      </c>
      <c r="B70" s="74" t="s">
        <v>22</v>
      </c>
      <c r="C70" s="75">
        <v>5507425</v>
      </c>
      <c r="D70" s="76">
        <v>43265</v>
      </c>
      <c r="E70" s="76">
        <v>45056</v>
      </c>
      <c r="F70" s="74" t="s">
        <v>111</v>
      </c>
      <c r="G70" s="75">
        <v>44.95</v>
      </c>
      <c r="H70" s="75">
        <v>22246.94</v>
      </c>
      <c r="I70" s="75">
        <v>0</v>
      </c>
      <c r="J70" s="74" t="s">
        <v>145</v>
      </c>
      <c r="K70" s="74" t="s">
        <v>146</v>
      </c>
      <c r="L70" s="74" t="s">
        <v>146</v>
      </c>
      <c r="M70" s="74" t="s">
        <v>146</v>
      </c>
    </row>
    <row r="71" spans="1:13" s="17" customFormat="1" ht="15" customHeight="1" x14ac:dyDescent="0.25">
      <c r="A71" s="74" t="s">
        <v>179</v>
      </c>
      <c r="B71" s="74" t="s">
        <v>22</v>
      </c>
      <c r="C71" s="75">
        <v>5507416</v>
      </c>
      <c r="D71" s="76">
        <v>43265</v>
      </c>
      <c r="E71" s="76">
        <v>45027</v>
      </c>
      <c r="F71" s="74" t="s">
        <v>111</v>
      </c>
      <c r="G71" s="75">
        <v>44.95</v>
      </c>
      <c r="H71" s="75">
        <v>22246.94</v>
      </c>
      <c r="I71" s="75">
        <v>0</v>
      </c>
      <c r="J71" s="74" t="s">
        <v>145</v>
      </c>
      <c r="K71" s="74" t="s">
        <v>146</v>
      </c>
      <c r="L71" s="74" t="s">
        <v>146</v>
      </c>
      <c r="M71" s="74" t="s">
        <v>146</v>
      </c>
    </row>
    <row r="72" spans="1:13" s="17" customFormat="1" ht="15" customHeight="1" x14ac:dyDescent="0.25">
      <c r="A72" s="74" t="s">
        <v>193</v>
      </c>
      <c r="B72" s="74" t="s">
        <v>22</v>
      </c>
      <c r="C72" s="75">
        <v>5507410</v>
      </c>
      <c r="D72" s="76">
        <v>43265</v>
      </c>
      <c r="E72" s="76">
        <v>44995</v>
      </c>
      <c r="F72" s="74" t="s">
        <v>111</v>
      </c>
      <c r="G72" s="75">
        <v>44.95</v>
      </c>
      <c r="H72" s="75">
        <v>22246.94</v>
      </c>
      <c r="I72" s="75">
        <v>0</v>
      </c>
      <c r="J72" s="74" t="s">
        <v>145</v>
      </c>
      <c r="K72" s="74" t="s">
        <v>146</v>
      </c>
      <c r="L72" s="74" t="s">
        <v>146</v>
      </c>
      <c r="M72" s="74" t="s">
        <v>146</v>
      </c>
    </row>
    <row r="73" spans="1:13" s="17" customFormat="1" ht="15" customHeight="1" x14ac:dyDescent="0.25">
      <c r="A73" s="74" t="s">
        <v>192</v>
      </c>
      <c r="B73" s="74" t="s">
        <v>22</v>
      </c>
      <c r="C73" s="75">
        <v>5507404</v>
      </c>
      <c r="D73" s="76">
        <v>43265</v>
      </c>
      <c r="E73" s="76">
        <v>44967</v>
      </c>
      <c r="F73" s="74" t="s">
        <v>111</v>
      </c>
      <c r="G73" s="75">
        <v>44.95</v>
      </c>
      <c r="H73" s="75">
        <v>22246.94</v>
      </c>
      <c r="I73" s="75">
        <v>0</v>
      </c>
      <c r="J73" s="74" t="s">
        <v>145</v>
      </c>
      <c r="K73" s="74" t="s">
        <v>146</v>
      </c>
      <c r="L73" s="74" t="s">
        <v>146</v>
      </c>
      <c r="M73" s="74" t="s">
        <v>146</v>
      </c>
    </row>
    <row r="74" spans="1:13" s="17" customFormat="1" ht="15" customHeight="1" x14ac:dyDescent="0.25">
      <c r="A74" s="74" t="s">
        <v>188</v>
      </c>
      <c r="B74" s="74" t="s">
        <v>22</v>
      </c>
      <c r="C74" s="75">
        <v>5507396</v>
      </c>
      <c r="D74" s="76">
        <v>43265</v>
      </c>
      <c r="E74" s="76">
        <v>44936</v>
      </c>
      <c r="F74" s="74" t="s">
        <v>111</v>
      </c>
      <c r="G74" s="75">
        <v>44.95</v>
      </c>
      <c r="H74" s="75">
        <v>22246.94</v>
      </c>
      <c r="I74" s="75">
        <v>0</v>
      </c>
      <c r="J74" s="74" t="s">
        <v>145</v>
      </c>
      <c r="K74" s="74" t="s">
        <v>146</v>
      </c>
      <c r="L74" s="74" t="s">
        <v>146</v>
      </c>
      <c r="M74" s="74" t="s">
        <v>146</v>
      </c>
    </row>
    <row r="75" spans="1:13" s="17" customFormat="1" ht="15" customHeight="1" x14ac:dyDescent="0.25">
      <c r="A75" s="74" t="s">
        <v>165</v>
      </c>
      <c r="B75" s="74" t="s">
        <v>22</v>
      </c>
      <c r="C75" s="75">
        <v>5507392</v>
      </c>
      <c r="D75" s="76">
        <v>43265</v>
      </c>
      <c r="E75" s="76">
        <v>44907</v>
      </c>
      <c r="F75" s="74" t="s">
        <v>111</v>
      </c>
      <c r="G75" s="75">
        <v>44.95</v>
      </c>
      <c r="H75" s="75">
        <v>22246.94</v>
      </c>
      <c r="I75" s="75">
        <v>0</v>
      </c>
      <c r="J75" s="74" t="s">
        <v>145</v>
      </c>
      <c r="K75" s="74" t="s">
        <v>146</v>
      </c>
      <c r="L75" s="74" t="s">
        <v>146</v>
      </c>
      <c r="M75" s="74" t="s">
        <v>146</v>
      </c>
    </row>
    <row r="76" spans="1:13" s="17" customFormat="1" ht="15" customHeight="1" x14ac:dyDescent="0.25">
      <c r="A76" s="74" t="s">
        <v>186</v>
      </c>
      <c r="B76" s="74" t="s">
        <v>22</v>
      </c>
      <c r="C76" s="75">
        <v>7987200</v>
      </c>
      <c r="D76" s="76">
        <v>43871</v>
      </c>
      <c r="E76" s="76">
        <v>44211</v>
      </c>
      <c r="F76" s="74" t="s">
        <v>96</v>
      </c>
      <c r="G76" s="75">
        <v>1.11696</v>
      </c>
      <c r="H76" s="75">
        <v>-895288.01</v>
      </c>
      <c r="I76" s="75">
        <v>0</v>
      </c>
      <c r="J76" s="74" t="s">
        <v>145</v>
      </c>
      <c r="K76" s="74" t="s">
        <v>146</v>
      </c>
      <c r="L76" s="74" t="s">
        <v>146</v>
      </c>
      <c r="M76" s="74" t="s">
        <v>146</v>
      </c>
    </row>
    <row r="77" spans="1:13" s="17" customFormat="1" ht="15" customHeight="1" x14ac:dyDescent="0.25">
      <c r="A77" s="74" t="s">
        <v>206</v>
      </c>
      <c r="B77" s="74" t="s">
        <v>22</v>
      </c>
      <c r="C77" s="75">
        <v>7987528</v>
      </c>
      <c r="D77" s="76">
        <v>43871</v>
      </c>
      <c r="E77" s="76">
        <v>44211</v>
      </c>
      <c r="F77" s="74" t="s">
        <v>99</v>
      </c>
      <c r="G77" s="75">
        <v>1.1172</v>
      </c>
      <c r="H77" s="75">
        <v>895094.88</v>
      </c>
      <c r="I77" s="75">
        <v>0</v>
      </c>
      <c r="J77" s="74" t="s">
        <v>145</v>
      </c>
      <c r="K77" s="74" t="s">
        <v>146</v>
      </c>
      <c r="L77" s="74" t="s">
        <v>146</v>
      </c>
      <c r="M77" s="74" t="s">
        <v>146</v>
      </c>
    </row>
    <row r="78" spans="1:13" s="17" customFormat="1" ht="15" customHeight="1" x14ac:dyDescent="0.25">
      <c r="A78" s="74" t="s">
        <v>161</v>
      </c>
      <c r="B78" s="74" t="s">
        <v>22</v>
      </c>
      <c r="C78" s="75">
        <v>5507348</v>
      </c>
      <c r="D78" s="76">
        <v>43265</v>
      </c>
      <c r="E78" s="76">
        <v>44875</v>
      </c>
      <c r="F78" s="74" t="s">
        <v>111</v>
      </c>
      <c r="G78" s="75">
        <v>44.95</v>
      </c>
      <c r="H78" s="75">
        <v>22246.94</v>
      </c>
      <c r="I78" s="75">
        <v>0</v>
      </c>
      <c r="J78" s="74" t="s">
        <v>145</v>
      </c>
      <c r="K78" s="74" t="s">
        <v>146</v>
      </c>
      <c r="L78" s="74" t="s">
        <v>146</v>
      </c>
      <c r="M78" s="74" t="s">
        <v>146</v>
      </c>
    </row>
    <row r="79" spans="1:13" s="17" customFormat="1" ht="15" customHeight="1" x14ac:dyDescent="0.25">
      <c r="A79" s="74" t="s">
        <v>153</v>
      </c>
      <c r="B79" s="74" t="s">
        <v>22</v>
      </c>
      <c r="C79" s="75">
        <v>5507327</v>
      </c>
      <c r="D79" s="76">
        <v>43265</v>
      </c>
      <c r="E79" s="76">
        <v>44845</v>
      </c>
      <c r="F79" s="74" t="s">
        <v>111</v>
      </c>
      <c r="G79" s="75">
        <v>44.95</v>
      </c>
      <c r="H79" s="75">
        <v>22246.94</v>
      </c>
      <c r="I79" s="75">
        <v>0</v>
      </c>
      <c r="J79" s="74" t="s">
        <v>145</v>
      </c>
      <c r="K79" s="74" t="s">
        <v>146</v>
      </c>
      <c r="L79" s="74" t="s">
        <v>146</v>
      </c>
      <c r="M79" s="74" t="s">
        <v>146</v>
      </c>
    </row>
    <row r="80" spans="1:13" s="17" customFormat="1" ht="15" customHeight="1" x14ac:dyDescent="0.25">
      <c r="A80" s="74" t="s">
        <v>183</v>
      </c>
      <c r="B80" s="74" t="s">
        <v>22</v>
      </c>
      <c r="C80" s="75">
        <v>5507458</v>
      </c>
      <c r="D80" s="76">
        <v>43265</v>
      </c>
      <c r="E80" s="76">
        <v>45089</v>
      </c>
      <c r="F80" s="74" t="s">
        <v>111</v>
      </c>
      <c r="G80" s="75">
        <v>44.95</v>
      </c>
      <c r="H80" s="75">
        <v>22246.94</v>
      </c>
      <c r="I80" s="75">
        <v>0</v>
      </c>
      <c r="J80" s="74" t="s">
        <v>145</v>
      </c>
      <c r="K80" s="74" t="s">
        <v>146</v>
      </c>
      <c r="L80" s="74" t="s">
        <v>146</v>
      </c>
      <c r="M80" s="74" t="s">
        <v>146</v>
      </c>
    </row>
    <row r="81" spans="1:13" s="17" customFormat="1" ht="15" customHeight="1" x14ac:dyDescent="0.25">
      <c r="A81" s="74" t="s">
        <v>176</v>
      </c>
      <c r="B81" s="74" t="s">
        <v>22</v>
      </c>
      <c r="C81" s="75">
        <v>8809097</v>
      </c>
      <c r="D81" s="76">
        <v>44063</v>
      </c>
      <c r="E81" s="76">
        <v>44067</v>
      </c>
      <c r="F81" s="74" t="s">
        <v>133</v>
      </c>
      <c r="G81" s="75">
        <v>1.1826000000000001</v>
      </c>
      <c r="H81" s="75">
        <v>-400000</v>
      </c>
      <c r="I81" s="75">
        <v>0</v>
      </c>
      <c r="J81" s="74" t="s">
        <v>145</v>
      </c>
      <c r="K81" s="74" t="s">
        <v>146</v>
      </c>
      <c r="L81" s="74" t="s">
        <v>146</v>
      </c>
      <c r="M81" s="74" t="s">
        <v>146</v>
      </c>
    </row>
    <row r="82" spans="1:13" s="17" customFormat="1" ht="15" customHeight="1" x14ac:dyDescent="0.25">
      <c r="A82" s="74" t="s">
        <v>160</v>
      </c>
      <c r="B82" s="74" t="s">
        <v>22</v>
      </c>
      <c r="C82" s="75">
        <v>8809067</v>
      </c>
      <c r="D82" s="76">
        <v>44063</v>
      </c>
      <c r="E82" s="76">
        <v>44067</v>
      </c>
      <c r="F82" s="74" t="s">
        <v>94</v>
      </c>
      <c r="G82" s="75">
        <v>1.1823999999999999</v>
      </c>
      <c r="H82" s="75">
        <v>200000</v>
      </c>
      <c r="I82" s="75">
        <v>0</v>
      </c>
      <c r="J82" s="74" t="s">
        <v>145</v>
      </c>
      <c r="K82" s="74" t="s">
        <v>146</v>
      </c>
      <c r="L82" s="74" t="s">
        <v>146</v>
      </c>
      <c r="M82" s="74" t="s">
        <v>146</v>
      </c>
    </row>
    <row r="83" spans="1:13" s="17" customFormat="1" ht="15" customHeight="1" x14ac:dyDescent="0.25">
      <c r="A83" s="74" t="s">
        <v>150</v>
      </c>
      <c r="B83" s="74" t="s">
        <v>22</v>
      </c>
      <c r="C83" s="75">
        <v>8808962</v>
      </c>
      <c r="D83" s="76">
        <v>44063</v>
      </c>
      <c r="E83" s="76">
        <v>44067</v>
      </c>
      <c r="F83" s="74" t="s">
        <v>141</v>
      </c>
      <c r="G83" s="75">
        <v>47.2</v>
      </c>
      <c r="H83" s="75">
        <v>400000</v>
      </c>
      <c r="I83" s="75">
        <v>0</v>
      </c>
      <c r="J83" s="74" t="s">
        <v>145</v>
      </c>
      <c r="K83" s="74" t="s">
        <v>141</v>
      </c>
      <c r="L83" s="74" t="s">
        <v>151</v>
      </c>
      <c r="M83" s="74" t="s">
        <v>146</v>
      </c>
    </row>
    <row r="84" spans="1:13" s="17" customFormat="1" ht="15" customHeight="1" x14ac:dyDescent="0.25">
      <c r="A84" s="74" t="s">
        <v>152</v>
      </c>
      <c r="B84" s="74" t="s">
        <v>22</v>
      </c>
      <c r="C84" s="75">
        <v>8808961</v>
      </c>
      <c r="D84" s="76">
        <v>44063</v>
      </c>
      <c r="E84" s="76">
        <v>44067</v>
      </c>
      <c r="F84" s="74" t="s">
        <v>94</v>
      </c>
      <c r="G84" s="75">
        <v>1.1853</v>
      </c>
      <c r="H84" s="75">
        <v>-200000</v>
      </c>
      <c r="I84" s="75">
        <v>0</v>
      </c>
      <c r="J84" s="74" t="s">
        <v>145</v>
      </c>
      <c r="K84" s="74" t="s">
        <v>146</v>
      </c>
      <c r="L84" s="74" t="s">
        <v>146</v>
      </c>
      <c r="M84" s="74" t="s">
        <v>146</v>
      </c>
    </row>
    <row r="85" spans="1:13" s="17" customFormat="1" ht="15" customHeight="1" x14ac:dyDescent="0.25">
      <c r="A85" s="74" t="s">
        <v>227</v>
      </c>
      <c r="B85" s="74" t="s">
        <v>22</v>
      </c>
      <c r="C85" s="75">
        <v>8802697</v>
      </c>
      <c r="D85" s="76">
        <v>44062</v>
      </c>
      <c r="E85" s="76">
        <v>44186</v>
      </c>
      <c r="F85" s="74" t="s">
        <v>88</v>
      </c>
      <c r="G85" s="75">
        <v>47.5</v>
      </c>
      <c r="H85" s="75">
        <v>-500000</v>
      </c>
      <c r="I85" s="75">
        <v>0</v>
      </c>
      <c r="J85" s="74" t="s">
        <v>145</v>
      </c>
      <c r="K85" s="74" t="s">
        <v>88</v>
      </c>
      <c r="L85" s="74" t="s">
        <v>159</v>
      </c>
      <c r="M85" s="74" t="s">
        <v>146</v>
      </c>
    </row>
    <row r="86" spans="1:13" s="17" customFormat="1" ht="15" customHeight="1" x14ac:dyDescent="0.25">
      <c r="A86" s="74" t="s">
        <v>156</v>
      </c>
      <c r="B86" s="74" t="s">
        <v>22</v>
      </c>
      <c r="C86" s="75">
        <v>8808940</v>
      </c>
      <c r="D86" s="76">
        <v>44063</v>
      </c>
      <c r="E86" s="76">
        <v>44067</v>
      </c>
      <c r="F86" s="74" t="s">
        <v>94</v>
      </c>
      <c r="G86" s="75">
        <v>1.18516</v>
      </c>
      <c r="H86" s="75">
        <v>-74000</v>
      </c>
      <c r="I86" s="75">
        <v>0</v>
      </c>
      <c r="J86" s="74" t="s">
        <v>145</v>
      </c>
      <c r="K86" s="74" t="s">
        <v>146</v>
      </c>
      <c r="L86" s="74" t="s">
        <v>146</v>
      </c>
      <c r="M86" s="74" t="s">
        <v>146</v>
      </c>
    </row>
    <row r="87" spans="1:13" s="17" customFormat="1" ht="15" customHeight="1" x14ac:dyDescent="0.25">
      <c r="A87" s="74" t="s">
        <v>230</v>
      </c>
      <c r="B87" s="74" t="s">
        <v>22</v>
      </c>
      <c r="C87" s="75">
        <v>8803772</v>
      </c>
      <c r="D87" s="76">
        <v>44062</v>
      </c>
      <c r="E87" s="76">
        <v>44077</v>
      </c>
      <c r="F87" s="74" t="s">
        <v>142</v>
      </c>
      <c r="G87" s="75">
        <v>47.42</v>
      </c>
      <c r="H87" s="75">
        <v>100000</v>
      </c>
      <c r="I87" s="75">
        <v>0</v>
      </c>
      <c r="J87" s="74" t="s">
        <v>145</v>
      </c>
      <c r="K87" s="74" t="s">
        <v>146</v>
      </c>
      <c r="L87" s="74" t="s">
        <v>146</v>
      </c>
      <c r="M87" s="74" t="s">
        <v>146</v>
      </c>
    </row>
    <row r="88" spans="1:13" s="17" customFormat="1" ht="15" customHeight="1" x14ac:dyDescent="0.25">
      <c r="A88" s="74" t="s">
        <v>158</v>
      </c>
      <c r="B88" s="74" t="s">
        <v>22</v>
      </c>
      <c r="C88" s="75">
        <v>8794787</v>
      </c>
      <c r="D88" s="76">
        <v>44060</v>
      </c>
      <c r="E88" s="76">
        <v>44071</v>
      </c>
      <c r="F88" s="74" t="s">
        <v>88</v>
      </c>
      <c r="G88" s="75">
        <v>47.094999999999999</v>
      </c>
      <c r="H88" s="75">
        <v>-3000000</v>
      </c>
      <c r="I88" s="75">
        <v>0</v>
      </c>
      <c r="J88" s="74" t="s">
        <v>145</v>
      </c>
      <c r="K88" s="74" t="s">
        <v>88</v>
      </c>
      <c r="L88" s="74" t="s">
        <v>159</v>
      </c>
      <c r="M88" s="74" t="s">
        <v>146</v>
      </c>
    </row>
    <row r="89" spans="1:13" s="17" customFormat="1" ht="15" customHeight="1" x14ac:dyDescent="0.25">
      <c r="A89" s="74" t="s">
        <v>374</v>
      </c>
      <c r="B89" s="74" t="s">
        <v>22</v>
      </c>
      <c r="C89" s="75">
        <v>8815210</v>
      </c>
      <c r="D89" s="76">
        <v>44064</v>
      </c>
      <c r="E89" s="76">
        <v>44098</v>
      </c>
      <c r="F89" s="74" t="s">
        <v>118</v>
      </c>
      <c r="G89" s="75">
        <v>47.05</v>
      </c>
      <c r="H89" s="75">
        <v>108530</v>
      </c>
      <c r="I89" s="75">
        <v>0</v>
      </c>
      <c r="J89" s="74" t="s">
        <v>145</v>
      </c>
      <c r="K89" s="74" t="s">
        <v>118</v>
      </c>
      <c r="L89" s="74" t="s">
        <v>155</v>
      </c>
      <c r="M89" s="74" t="s">
        <v>146</v>
      </c>
    </row>
    <row r="90" spans="1:13" s="17" customFormat="1" ht="15" customHeight="1" x14ac:dyDescent="0.25">
      <c r="A90" s="74" t="s">
        <v>375</v>
      </c>
      <c r="B90" s="74" t="s">
        <v>22</v>
      </c>
      <c r="C90" s="75">
        <v>8815172</v>
      </c>
      <c r="D90" s="76">
        <v>44064</v>
      </c>
      <c r="E90" s="76">
        <v>44075</v>
      </c>
      <c r="F90" s="74" t="s">
        <v>118</v>
      </c>
      <c r="G90" s="75">
        <v>47.015000000000001</v>
      </c>
      <c r="H90" s="75">
        <v>416268.72</v>
      </c>
      <c r="I90" s="75">
        <v>0</v>
      </c>
      <c r="J90" s="74" t="s">
        <v>145</v>
      </c>
      <c r="K90" s="74" t="s">
        <v>118</v>
      </c>
      <c r="L90" s="74" t="s">
        <v>155</v>
      </c>
      <c r="M90" s="74" t="s">
        <v>146</v>
      </c>
    </row>
    <row r="91" spans="1:13" s="17" customFormat="1" ht="15" customHeight="1" x14ac:dyDescent="0.25">
      <c r="A91" s="74" t="s">
        <v>376</v>
      </c>
      <c r="B91" s="74" t="s">
        <v>22</v>
      </c>
      <c r="C91" s="75">
        <v>8815226</v>
      </c>
      <c r="D91" s="76">
        <v>44064</v>
      </c>
      <c r="E91" s="76">
        <v>44068</v>
      </c>
      <c r="F91" s="74" t="s">
        <v>94</v>
      </c>
      <c r="G91" s="75">
        <v>1.17927</v>
      </c>
      <c r="H91" s="75">
        <v>-416000</v>
      </c>
      <c r="I91" s="75">
        <v>0</v>
      </c>
      <c r="J91" s="74" t="s">
        <v>145</v>
      </c>
      <c r="K91" s="74" t="s">
        <v>146</v>
      </c>
      <c r="L91" s="74" t="s">
        <v>146</v>
      </c>
      <c r="M91" s="74" t="s">
        <v>146</v>
      </c>
    </row>
    <row r="92" spans="1:13" s="17" customFormat="1" ht="15" customHeight="1" x14ac:dyDescent="0.25">
      <c r="A92" s="74" t="s">
        <v>377</v>
      </c>
      <c r="B92" s="74" t="s">
        <v>22</v>
      </c>
      <c r="C92" s="75">
        <v>8815163</v>
      </c>
      <c r="D92" s="76">
        <v>44064</v>
      </c>
      <c r="E92" s="76">
        <v>44068</v>
      </c>
      <c r="F92" s="74" t="s">
        <v>96</v>
      </c>
      <c r="G92" s="75">
        <v>1.17855</v>
      </c>
      <c r="H92" s="75">
        <v>-116000</v>
      </c>
      <c r="I92" s="75">
        <v>0</v>
      </c>
      <c r="J92" s="74" t="s">
        <v>145</v>
      </c>
      <c r="K92" s="74" t="s">
        <v>146</v>
      </c>
      <c r="L92" s="74" t="s">
        <v>146</v>
      </c>
      <c r="M92" s="74" t="s">
        <v>146</v>
      </c>
    </row>
    <row r="93" spans="1:13" s="17" customFormat="1" ht="15" customHeight="1" x14ac:dyDescent="0.25">
      <c r="A93" s="74" t="s">
        <v>217</v>
      </c>
      <c r="B93" s="74" t="s">
        <v>22</v>
      </c>
      <c r="C93" s="75">
        <v>8811128</v>
      </c>
      <c r="D93" s="76">
        <v>44063</v>
      </c>
      <c r="E93" s="76">
        <v>44067</v>
      </c>
      <c r="F93" s="74" t="s">
        <v>94</v>
      </c>
      <c r="G93" s="75">
        <v>1.18483</v>
      </c>
      <c r="H93" s="75">
        <v>70000</v>
      </c>
      <c r="I93" s="75">
        <v>0</v>
      </c>
      <c r="J93" s="74" t="s">
        <v>145</v>
      </c>
      <c r="K93" s="74" t="s">
        <v>146</v>
      </c>
      <c r="L93" s="74" t="s">
        <v>146</v>
      </c>
      <c r="M93" s="74" t="s">
        <v>146</v>
      </c>
    </row>
    <row r="94" spans="1:13" s="17" customFormat="1" ht="15" customHeight="1" x14ac:dyDescent="0.25">
      <c r="A94" s="74" t="s">
        <v>194</v>
      </c>
      <c r="B94" s="74" t="s">
        <v>22</v>
      </c>
      <c r="C94" s="75">
        <v>8809098</v>
      </c>
      <c r="D94" s="76">
        <v>44063</v>
      </c>
      <c r="E94" s="76">
        <v>44067</v>
      </c>
      <c r="F94" s="74" t="s">
        <v>130</v>
      </c>
      <c r="G94" s="75">
        <v>1.1855</v>
      </c>
      <c r="H94" s="75">
        <v>2000000</v>
      </c>
      <c r="I94" s="75">
        <v>0</v>
      </c>
      <c r="J94" s="74" t="s">
        <v>145</v>
      </c>
      <c r="K94" s="74" t="s">
        <v>146</v>
      </c>
      <c r="L94" s="74" t="s">
        <v>146</v>
      </c>
      <c r="M94" s="74" t="s">
        <v>146</v>
      </c>
    </row>
    <row r="95" spans="1:13" s="17" customFormat="1" ht="15" customHeight="1" x14ac:dyDescent="0.25">
      <c r="A95" s="74" t="s">
        <v>198</v>
      </c>
      <c r="B95" s="74" t="s">
        <v>22</v>
      </c>
      <c r="C95" s="75">
        <v>8802001</v>
      </c>
      <c r="D95" s="76">
        <v>44062</v>
      </c>
      <c r="E95" s="76">
        <v>44085</v>
      </c>
      <c r="F95" s="74" t="s">
        <v>88</v>
      </c>
      <c r="G95" s="75">
        <v>1.1940999999999999</v>
      </c>
      <c r="H95" s="75">
        <v>-500000</v>
      </c>
      <c r="I95" s="75">
        <v>0</v>
      </c>
      <c r="J95" s="74" t="s">
        <v>145</v>
      </c>
      <c r="K95" s="74" t="s">
        <v>88</v>
      </c>
      <c r="L95" s="74" t="s">
        <v>159</v>
      </c>
      <c r="M95" s="74" t="s">
        <v>146</v>
      </c>
    </row>
    <row r="96" spans="1:13" s="17" customFormat="1" ht="15" customHeight="1" x14ac:dyDescent="0.25">
      <c r="A96" s="74" t="s">
        <v>218</v>
      </c>
      <c r="B96" s="74" t="s">
        <v>22</v>
      </c>
      <c r="C96" s="75">
        <v>8809220</v>
      </c>
      <c r="D96" s="76">
        <v>44063</v>
      </c>
      <c r="E96" s="76">
        <v>44067</v>
      </c>
      <c r="F96" s="74" t="s">
        <v>130</v>
      </c>
      <c r="G96" s="75">
        <v>1.18269</v>
      </c>
      <c r="H96" s="75">
        <v>-2000000</v>
      </c>
      <c r="I96" s="75">
        <v>0</v>
      </c>
      <c r="J96" s="74" t="s">
        <v>145</v>
      </c>
      <c r="K96" s="74" t="s">
        <v>146</v>
      </c>
      <c r="L96" s="74" t="s">
        <v>146</v>
      </c>
      <c r="M96" s="74" t="s">
        <v>146</v>
      </c>
    </row>
    <row r="97" spans="1:13" s="17" customFormat="1" ht="15" customHeight="1" x14ac:dyDescent="0.25">
      <c r="A97" s="74" t="s">
        <v>222</v>
      </c>
      <c r="B97" s="74" t="s">
        <v>22</v>
      </c>
      <c r="C97" s="75">
        <v>8809168</v>
      </c>
      <c r="D97" s="76">
        <v>44063</v>
      </c>
      <c r="E97" s="76">
        <v>44067</v>
      </c>
      <c r="F97" s="74" t="s">
        <v>94</v>
      </c>
      <c r="G97" s="75">
        <v>1.1816899999999999</v>
      </c>
      <c r="H97" s="75">
        <v>-92000</v>
      </c>
      <c r="I97" s="75">
        <v>0</v>
      </c>
      <c r="J97" s="74" t="s">
        <v>145</v>
      </c>
      <c r="K97" s="74" t="s">
        <v>146</v>
      </c>
      <c r="L97" s="74" t="s">
        <v>146</v>
      </c>
      <c r="M97" s="74" t="s">
        <v>146</v>
      </c>
    </row>
    <row r="98" spans="1:13" s="17" customFormat="1" ht="15" customHeight="1" x14ac:dyDescent="0.25">
      <c r="A98" s="74" t="s">
        <v>205</v>
      </c>
      <c r="B98" s="74" t="s">
        <v>22</v>
      </c>
      <c r="C98" s="75">
        <v>8811762</v>
      </c>
      <c r="D98" s="76">
        <v>44063</v>
      </c>
      <c r="E98" s="76">
        <v>44067</v>
      </c>
      <c r="F98" s="74" t="s">
        <v>133</v>
      </c>
      <c r="G98" s="75">
        <v>1.1855</v>
      </c>
      <c r="H98" s="75">
        <v>-2000000</v>
      </c>
      <c r="I98" s="75">
        <v>0</v>
      </c>
      <c r="J98" s="74" t="s">
        <v>145</v>
      </c>
      <c r="K98" s="74" t="s">
        <v>146</v>
      </c>
      <c r="L98" s="74" t="s">
        <v>146</v>
      </c>
      <c r="M98" s="74" t="s">
        <v>146</v>
      </c>
    </row>
    <row r="99" spans="1:13" s="17" customFormat="1" ht="15" customHeight="1" x14ac:dyDescent="0.25">
      <c r="A99" s="74" t="s">
        <v>204</v>
      </c>
      <c r="B99" s="74" t="s">
        <v>22</v>
      </c>
      <c r="C99" s="75">
        <v>8811764</v>
      </c>
      <c r="D99" s="76">
        <v>44063</v>
      </c>
      <c r="E99" s="76">
        <v>44067</v>
      </c>
      <c r="F99" s="74" t="s">
        <v>133</v>
      </c>
      <c r="G99" s="75">
        <v>1.18269</v>
      </c>
      <c r="H99" s="75">
        <v>2000000</v>
      </c>
      <c r="I99" s="75">
        <v>0</v>
      </c>
      <c r="J99" s="74" t="s">
        <v>145</v>
      </c>
      <c r="K99" s="74" t="s">
        <v>146</v>
      </c>
      <c r="L99" s="74" t="s">
        <v>146</v>
      </c>
      <c r="M99" s="74" t="s">
        <v>146</v>
      </c>
    </row>
    <row r="100" spans="1:13" s="17" customFormat="1" ht="15" customHeight="1" x14ac:dyDescent="0.25">
      <c r="A100" s="74" t="s">
        <v>378</v>
      </c>
      <c r="B100" s="74" t="s">
        <v>22</v>
      </c>
      <c r="C100" s="75">
        <v>8815025</v>
      </c>
      <c r="D100" s="76">
        <v>44064</v>
      </c>
      <c r="E100" s="76">
        <v>44068</v>
      </c>
      <c r="F100" s="74" t="s">
        <v>94</v>
      </c>
      <c r="G100" s="75">
        <v>1.1814800000000001</v>
      </c>
      <c r="H100" s="75">
        <v>60000</v>
      </c>
      <c r="I100" s="75">
        <v>0</v>
      </c>
      <c r="J100" s="74" t="s">
        <v>145</v>
      </c>
      <c r="K100" s="74" t="s">
        <v>146</v>
      </c>
      <c r="L100" s="74" t="s">
        <v>146</v>
      </c>
      <c r="M100" s="74" t="s">
        <v>146</v>
      </c>
    </row>
    <row r="101" spans="1:13" s="17" customFormat="1" ht="15" customHeight="1" x14ac:dyDescent="0.25">
      <c r="A101" s="74" t="s">
        <v>166</v>
      </c>
      <c r="B101" s="74" t="s">
        <v>22</v>
      </c>
      <c r="C101" s="75">
        <v>8794762</v>
      </c>
      <c r="D101" s="76">
        <v>44060</v>
      </c>
      <c r="E101" s="76">
        <v>44070</v>
      </c>
      <c r="F101" s="74" t="s">
        <v>88</v>
      </c>
      <c r="G101" s="75">
        <v>47.094999999999999</v>
      </c>
      <c r="H101" s="75">
        <v>-2000000</v>
      </c>
      <c r="I101" s="75">
        <v>0</v>
      </c>
      <c r="J101" s="74" t="s">
        <v>145</v>
      </c>
      <c r="K101" s="74" t="s">
        <v>88</v>
      </c>
      <c r="L101" s="74" t="s">
        <v>159</v>
      </c>
      <c r="M101" s="74" t="s">
        <v>146</v>
      </c>
    </row>
    <row r="102" spans="1:13" s="17" customFormat="1" ht="15" customHeight="1" x14ac:dyDescent="0.25">
      <c r="A102" s="74" t="s">
        <v>379</v>
      </c>
      <c r="B102" s="74" t="s">
        <v>22</v>
      </c>
      <c r="C102" s="75">
        <v>8813822</v>
      </c>
      <c r="D102" s="76">
        <v>44064</v>
      </c>
      <c r="E102" s="76">
        <v>44068</v>
      </c>
      <c r="F102" s="74" t="s">
        <v>94</v>
      </c>
      <c r="G102" s="75">
        <v>1.1843999999999999</v>
      </c>
      <c r="H102" s="75">
        <v>-322000</v>
      </c>
      <c r="I102" s="75">
        <v>0</v>
      </c>
      <c r="J102" s="74" t="s">
        <v>145</v>
      </c>
      <c r="K102" s="74" t="s">
        <v>146</v>
      </c>
      <c r="L102" s="74" t="s">
        <v>146</v>
      </c>
      <c r="M102" s="74" t="s">
        <v>146</v>
      </c>
    </row>
    <row r="103" spans="1:13" s="17" customFormat="1" ht="15" customHeight="1" x14ac:dyDescent="0.25">
      <c r="A103" s="74" t="s">
        <v>380</v>
      </c>
      <c r="B103" s="74" t="s">
        <v>22</v>
      </c>
      <c r="C103" s="75">
        <v>8816083</v>
      </c>
      <c r="D103" s="76">
        <v>44064</v>
      </c>
      <c r="E103" s="76">
        <v>44071</v>
      </c>
      <c r="F103" s="74" t="s">
        <v>96</v>
      </c>
      <c r="G103" s="75">
        <v>1.1778500000000001</v>
      </c>
      <c r="H103" s="75">
        <v>15000000</v>
      </c>
      <c r="I103" s="75">
        <v>0</v>
      </c>
      <c r="J103" s="74" t="s">
        <v>145</v>
      </c>
      <c r="K103" s="74" t="s">
        <v>146</v>
      </c>
      <c r="L103" s="74" t="s">
        <v>146</v>
      </c>
      <c r="M103" s="74" t="s">
        <v>146</v>
      </c>
    </row>
    <row r="104" spans="1:13" s="17" customFormat="1" ht="15" customHeight="1" x14ac:dyDescent="0.25">
      <c r="A104" s="74" t="s">
        <v>177</v>
      </c>
      <c r="B104" s="74" t="s">
        <v>22</v>
      </c>
      <c r="C104" s="75">
        <v>8797463</v>
      </c>
      <c r="D104" s="76">
        <v>44061</v>
      </c>
      <c r="E104" s="76">
        <v>44085</v>
      </c>
      <c r="F104" s="74" t="s">
        <v>88</v>
      </c>
      <c r="G104" s="75">
        <v>1.1892</v>
      </c>
      <c r="H104" s="75">
        <v>-500000</v>
      </c>
      <c r="I104" s="75">
        <v>0</v>
      </c>
      <c r="J104" s="74" t="s">
        <v>145</v>
      </c>
      <c r="K104" s="74" t="s">
        <v>88</v>
      </c>
      <c r="L104" s="74" t="s">
        <v>159</v>
      </c>
      <c r="M104" s="74" t="s">
        <v>146</v>
      </c>
    </row>
    <row r="105" spans="1:13" s="17" customFormat="1" ht="15" customHeight="1" x14ac:dyDescent="0.25">
      <c r="A105" s="74" t="s">
        <v>157</v>
      </c>
      <c r="B105" s="74" t="s">
        <v>22</v>
      </c>
      <c r="C105" s="75">
        <v>8800465</v>
      </c>
      <c r="D105" s="76">
        <v>44061</v>
      </c>
      <c r="E105" s="76">
        <v>44068</v>
      </c>
      <c r="F105" s="74" t="s">
        <v>96</v>
      </c>
      <c r="G105" s="75">
        <v>1.1943900000000001</v>
      </c>
      <c r="H105" s="75">
        <v>23000000</v>
      </c>
      <c r="I105" s="75">
        <v>0</v>
      </c>
      <c r="J105" s="74" t="s">
        <v>145</v>
      </c>
      <c r="K105" s="74" t="s">
        <v>146</v>
      </c>
      <c r="L105" s="74" t="s">
        <v>146</v>
      </c>
      <c r="M105" s="74" t="s">
        <v>146</v>
      </c>
    </row>
    <row r="106" spans="1:13" s="17" customFormat="1" ht="15" customHeight="1" x14ac:dyDescent="0.25">
      <c r="A106" s="74" t="s">
        <v>381</v>
      </c>
      <c r="B106" s="74" t="s">
        <v>22</v>
      </c>
      <c r="C106" s="75">
        <v>8814073</v>
      </c>
      <c r="D106" s="76">
        <v>44064</v>
      </c>
      <c r="E106" s="76">
        <v>44068</v>
      </c>
      <c r="F106" s="74" t="s">
        <v>130</v>
      </c>
      <c r="G106" s="75">
        <v>1.1815199999999999</v>
      </c>
      <c r="H106" s="75">
        <v>2000000</v>
      </c>
      <c r="I106" s="75">
        <v>0</v>
      </c>
      <c r="J106" s="74" t="s">
        <v>145</v>
      </c>
      <c r="K106" s="74" t="s">
        <v>146</v>
      </c>
      <c r="L106" s="74" t="s">
        <v>146</v>
      </c>
      <c r="M106" s="74" t="s">
        <v>146</v>
      </c>
    </row>
    <row r="107" spans="1:13" s="17" customFormat="1" ht="15" customHeight="1" x14ac:dyDescent="0.25">
      <c r="A107" s="74" t="s">
        <v>154</v>
      </c>
      <c r="B107" s="74" t="s">
        <v>22</v>
      </c>
      <c r="C107" s="75">
        <v>8808941</v>
      </c>
      <c r="D107" s="76">
        <v>44063</v>
      </c>
      <c r="E107" s="76">
        <v>44067</v>
      </c>
      <c r="F107" s="74" t="s">
        <v>134</v>
      </c>
      <c r="G107" s="75">
        <v>47.18</v>
      </c>
      <c r="H107" s="75">
        <v>274283.86</v>
      </c>
      <c r="I107" s="75">
        <v>0</v>
      </c>
      <c r="J107" s="74" t="s">
        <v>145</v>
      </c>
      <c r="K107" s="74" t="s">
        <v>134</v>
      </c>
      <c r="L107" s="74" t="s">
        <v>155</v>
      </c>
      <c r="M107" s="74" t="s">
        <v>146</v>
      </c>
    </row>
    <row r="108" spans="1:13" s="17" customFormat="1" ht="15" customHeight="1" x14ac:dyDescent="0.25">
      <c r="A108" s="74" t="s">
        <v>382</v>
      </c>
      <c r="B108" s="74" t="s">
        <v>22</v>
      </c>
      <c r="C108" s="75">
        <v>8816317</v>
      </c>
      <c r="D108" s="76">
        <v>44064</v>
      </c>
      <c r="E108" s="76">
        <v>44068</v>
      </c>
      <c r="F108" s="74" t="s">
        <v>94</v>
      </c>
      <c r="G108" s="75">
        <v>1.1760299999999999</v>
      </c>
      <c r="H108" s="75">
        <v>68000</v>
      </c>
      <c r="I108" s="75">
        <v>0</v>
      </c>
      <c r="J108" s="74" t="s">
        <v>145</v>
      </c>
      <c r="K108" s="74" t="s">
        <v>146</v>
      </c>
      <c r="L108" s="74" t="s">
        <v>146</v>
      </c>
      <c r="M108" s="74" t="s">
        <v>146</v>
      </c>
    </row>
    <row r="109" spans="1:13" s="17" customFormat="1" ht="15" customHeight="1" x14ac:dyDescent="0.25">
      <c r="A109" s="74" t="s">
        <v>383</v>
      </c>
      <c r="B109" s="74" t="s">
        <v>22</v>
      </c>
      <c r="C109" s="75">
        <v>8814068</v>
      </c>
      <c r="D109" s="76">
        <v>44064</v>
      </c>
      <c r="E109" s="76">
        <v>44068</v>
      </c>
      <c r="F109" s="74" t="s">
        <v>130</v>
      </c>
      <c r="G109" s="75">
        <v>1.1835199999999999</v>
      </c>
      <c r="H109" s="75">
        <v>-2000000</v>
      </c>
      <c r="I109" s="75">
        <v>0</v>
      </c>
      <c r="J109" s="74" t="s">
        <v>145</v>
      </c>
      <c r="K109" s="74" t="s">
        <v>146</v>
      </c>
      <c r="L109" s="74" t="s">
        <v>146</v>
      </c>
      <c r="M109" s="74" t="s">
        <v>146</v>
      </c>
    </row>
    <row r="110" spans="1:13" s="17" customFormat="1" ht="15" customHeight="1" x14ac:dyDescent="0.25">
      <c r="A110" s="74" t="s">
        <v>384</v>
      </c>
      <c r="B110" s="74" t="s">
        <v>25</v>
      </c>
      <c r="C110" s="75">
        <v>8814465</v>
      </c>
      <c r="D110" s="76">
        <v>44064</v>
      </c>
      <c r="E110" s="76">
        <v>44068</v>
      </c>
      <c r="F110" s="74" t="s">
        <v>94</v>
      </c>
      <c r="G110" s="75">
        <v>1.31918</v>
      </c>
      <c r="H110" s="75">
        <v>98000</v>
      </c>
      <c r="I110" s="75">
        <v>0</v>
      </c>
      <c r="J110" s="74" t="s">
        <v>145</v>
      </c>
      <c r="K110" s="74" t="s">
        <v>146</v>
      </c>
      <c r="L110" s="74" t="s">
        <v>146</v>
      </c>
      <c r="M110" s="74" t="s">
        <v>146</v>
      </c>
    </row>
    <row r="111" spans="1:13" s="17" customFormat="1" ht="15" customHeight="1" x14ac:dyDescent="0.25">
      <c r="A111" s="74" t="s">
        <v>238</v>
      </c>
      <c r="B111" s="74" t="s">
        <v>25</v>
      </c>
      <c r="C111" s="75">
        <v>8811132</v>
      </c>
      <c r="D111" s="76">
        <v>44063</v>
      </c>
      <c r="E111" s="76">
        <v>44067</v>
      </c>
      <c r="F111" s="74" t="s">
        <v>94</v>
      </c>
      <c r="G111" s="75">
        <v>1.31436</v>
      </c>
      <c r="H111" s="75">
        <v>-10000</v>
      </c>
      <c r="I111" s="75">
        <v>0</v>
      </c>
      <c r="J111" s="74" t="s">
        <v>145</v>
      </c>
      <c r="K111" s="74" t="s">
        <v>146</v>
      </c>
      <c r="L111" s="74" t="s">
        <v>146</v>
      </c>
      <c r="M111" s="74" t="s">
        <v>146</v>
      </c>
    </row>
    <row r="112" spans="1:13" s="17" customFormat="1" ht="15" customHeight="1" x14ac:dyDescent="0.25">
      <c r="A112" s="74" t="s">
        <v>235</v>
      </c>
      <c r="B112" s="74" t="s">
        <v>25</v>
      </c>
      <c r="C112" s="75">
        <v>8646163</v>
      </c>
      <c r="D112" s="76">
        <v>44026</v>
      </c>
      <c r="E112" s="76">
        <v>44120</v>
      </c>
      <c r="F112" s="74" t="s">
        <v>96</v>
      </c>
      <c r="G112" s="75">
        <v>1.25322</v>
      </c>
      <c r="H112" s="75">
        <v>-10000000</v>
      </c>
      <c r="I112" s="75">
        <v>0</v>
      </c>
      <c r="J112" s="74" t="s">
        <v>145</v>
      </c>
      <c r="K112" s="74" t="s">
        <v>146</v>
      </c>
      <c r="L112" s="74" t="s">
        <v>146</v>
      </c>
      <c r="M112" s="74" t="s">
        <v>146</v>
      </c>
    </row>
    <row r="113" spans="1:13" s="17" customFormat="1" ht="15" customHeight="1" x14ac:dyDescent="0.25">
      <c r="A113" s="74" t="s">
        <v>237</v>
      </c>
      <c r="B113" s="74" t="s">
        <v>25</v>
      </c>
      <c r="C113" s="75">
        <v>8809103</v>
      </c>
      <c r="D113" s="76">
        <v>44063</v>
      </c>
      <c r="E113" s="76">
        <v>44067</v>
      </c>
      <c r="F113" s="74" t="s">
        <v>94</v>
      </c>
      <c r="G113" s="75">
        <v>1.3074699999999999</v>
      </c>
      <c r="H113" s="75">
        <v>-35000</v>
      </c>
      <c r="I113" s="75">
        <v>0</v>
      </c>
      <c r="J113" s="74" t="s">
        <v>145</v>
      </c>
      <c r="K113" s="74" t="s">
        <v>146</v>
      </c>
      <c r="L113" s="74" t="s">
        <v>146</v>
      </c>
      <c r="M113" s="74" t="s">
        <v>146</v>
      </c>
    </row>
    <row r="114" spans="1:13" s="17" customFormat="1" ht="15" customHeight="1" x14ac:dyDescent="0.25">
      <c r="A114" s="74" t="s">
        <v>236</v>
      </c>
      <c r="B114" s="74" t="s">
        <v>25</v>
      </c>
      <c r="C114" s="75">
        <v>8808307</v>
      </c>
      <c r="D114" s="76">
        <v>44063</v>
      </c>
      <c r="E114" s="76">
        <v>44067</v>
      </c>
      <c r="F114" s="74" t="s">
        <v>143</v>
      </c>
      <c r="G114" s="75">
        <v>52.6</v>
      </c>
      <c r="H114" s="75">
        <v>23857.05</v>
      </c>
      <c r="I114" s="75">
        <v>0</v>
      </c>
      <c r="J114" s="74" t="s">
        <v>145</v>
      </c>
      <c r="K114" s="74" t="s">
        <v>146</v>
      </c>
      <c r="L114" s="74" t="s">
        <v>146</v>
      </c>
      <c r="M114" s="74" t="s">
        <v>146</v>
      </c>
    </row>
    <row r="115" spans="1:13" s="17" customFormat="1" ht="15" customHeight="1" x14ac:dyDescent="0.25">
      <c r="A115" s="74" t="s">
        <v>385</v>
      </c>
      <c r="B115" s="74" t="s">
        <v>25</v>
      </c>
      <c r="C115" s="75">
        <v>8813320</v>
      </c>
      <c r="D115" s="76">
        <v>44064</v>
      </c>
      <c r="E115" s="76">
        <v>44068</v>
      </c>
      <c r="F115" s="74" t="s">
        <v>94</v>
      </c>
      <c r="G115" s="75">
        <v>1.32358</v>
      </c>
      <c r="H115" s="75">
        <v>50000</v>
      </c>
      <c r="I115" s="75">
        <v>0</v>
      </c>
      <c r="J115" s="74" t="s">
        <v>145</v>
      </c>
      <c r="K115" s="74" t="s">
        <v>146</v>
      </c>
      <c r="L115" s="74" t="s">
        <v>146</v>
      </c>
      <c r="M115" s="74" t="s">
        <v>146</v>
      </c>
    </row>
    <row r="116" spans="1:13" s="17" customFormat="1" ht="15" customHeight="1" x14ac:dyDescent="0.25">
      <c r="A116" s="74" t="s">
        <v>386</v>
      </c>
      <c r="B116" s="74" t="s">
        <v>25</v>
      </c>
      <c r="C116" s="75">
        <v>8816323</v>
      </c>
      <c r="D116" s="76">
        <v>44064</v>
      </c>
      <c r="E116" s="76">
        <v>44068</v>
      </c>
      <c r="F116" s="74" t="s">
        <v>94</v>
      </c>
      <c r="G116" s="75">
        <v>1.31029</v>
      </c>
      <c r="H116" s="75">
        <v>13000</v>
      </c>
      <c r="I116" s="75">
        <v>0</v>
      </c>
      <c r="J116" s="74" t="s">
        <v>145</v>
      </c>
      <c r="K116" s="74" t="s">
        <v>146</v>
      </c>
      <c r="L116" s="74" t="s">
        <v>146</v>
      </c>
      <c r="M116" s="74" t="s">
        <v>146</v>
      </c>
    </row>
    <row r="117" spans="1:13" s="17" customFormat="1" ht="15" customHeight="1" x14ac:dyDescent="0.25">
      <c r="A117" s="74" t="s">
        <v>387</v>
      </c>
      <c r="B117" s="74" t="s">
        <v>25</v>
      </c>
      <c r="C117" s="75">
        <v>8813308</v>
      </c>
      <c r="D117" s="76">
        <v>44064</v>
      </c>
      <c r="E117" s="76">
        <v>44068</v>
      </c>
      <c r="F117" s="74" t="s">
        <v>356</v>
      </c>
      <c r="G117" s="75">
        <v>52.55</v>
      </c>
      <c r="H117" s="75">
        <v>-50000</v>
      </c>
      <c r="I117" s="75">
        <v>0</v>
      </c>
      <c r="J117" s="74" t="s">
        <v>145</v>
      </c>
      <c r="K117" s="74" t="s">
        <v>356</v>
      </c>
      <c r="L117" s="74" t="s">
        <v>364</v>
      </c>
      <c r="M117" s="74" t="s">
        <v>146</v>
      </c>
    </row>
    <row r="118" spans="1:13" s="17" customFormat="1" ht="15" customHeight="1" x14ac:dyDescent="0.25">
      <c r="A118" s="74" t="s">
        <v>240</v>
      </c>
      <c r="B118" s="74" t="s">
        <v>27</v>
      </c>
      <c r="C118" s="75">
        <v>8766816</v>
      </c>
      <c r="D118" s="76">
        <v>44054</v>
      </c>
      <c r="E118" s="76">
        <v>44069</v>
      </c>
      <c r="F118" s="74" t="s">
        <v>94</v>
      </c>
      <c r="G118" s="75">
        <v>7.7505300000000004</v>
      </c>
      <c r="H118" s="75">
        <v>1000000</v>
      </c>
      <c r="I118" s="75">
        <v>0</v>
      </c>
      <c r="J118" s="74" t="s">
        <v>145</v>
      </c>
      <c r="K118" s="74" t="s">
        <v>146</v>
      </c>
      <c r="L118" s="74" t="s">
        <v>146</v>
      </c>
      <c r="M118" s="74" t="s">
        <v>146</v>
      </c>
    </row>
    <row r="119" spans="1:13" s="17" customFormat="1" ht="15" customHeight="1" x14ac:dyDescent="0.25">
      <c r="A119" s="74" t="s">
        <v>239</v>
      </c>
      <c r="B119" s="74" t="s">
        <v>27</v>
      </c>
      <c r="C119" s="75">
        <v>8811282</v>
      </c>
      <c r="D119" s="76">
        <v>44063</v>
      </c>
      <c r="E119" s="76">
        <v>44067</v>
      </c>
      <c r="F119" s="74" t="s">
        <v>94</v>
      </c>
      <c r="G119" s="75">
        <v>7.7501499999999997</v>
      </c>
      <c r="H119" s="75">
        <v>-13000</v>
      </c>
      <c r="I119" s="75">
        <v>0</v>
      </c>
      <c r="J119" s="74" t="s">
        <v>145</v>
      </c>
      <c r="K119" s="74" t="s">
        <v>146</v>
      </c>
      <c r="L119" s="74" t="s">
        <v>146</v>
      </c>
      <c r="M119" s="74" t="s">
        <v>146</v>
      </c>
    </row>
    <row r="120" spans="1:13" s="17" customFormat="1" ht="15" customHeight="1" x14ac:dyDescent="0.25">
      <c r="A120" s="74" t="s">
        <v>388</v>
      </c>
      <c r="B120" s="74" t="s">
        <v>16</v>
      </c>
      <c r="C120" s="75">
        <v>8815503</v>
      </c>
      <c r="D120" s="76">
        <v>44064</v>
      </c>
      <c r="E120" s="76">
        <v>44067</v>
      </c>
      <c r="F120" s="74" t="s">
        <v>353</v>
      </c>
      <c r="G120" s="75">
        <v>0.3775</v>
      </c>
      <c r="H120" s="75">
        <v>2483000</v>
      </c>
      <c r="I120" s="75">
        <v>0</v>
      </c>
      <c r="J120" s="74" t="s">
        <v>145</v>
      </c>
      <c r="K120" s="74" t="s">
        <v>146</v>
      </c>
      <c r="L120" s="74" t="s">
        <v>146</v>
      </c>
      <c r="M120" s="74" t="s">
        <v>146</v>
      </c>
    </row>
    <row r="121" spans="1:13" s="17" customFormat="1" ht="15" customHeight="1" x14ac:dyDescent="0.25">
      <c r="A121" s="74" t="s">
        <v>389</v>
      </c>
      <c r="B121" s="74" t="s">
        <v>16</v>
      </c>
      <c r="C121" s="75">
        <v>8816339</v>
      </c>
      <c r="D121" s="76">
        <v>44064</v>
      </c>
      <c r="E121" s="76">
        <v>44068</v>
      </c>
      <c r="F121" s="74" t="s">
        <v>94</v>
      </c>
      <c r="G121" s="75">
        <v>105.821</v>
      </c>
      <c r="H121" s="75">
        <v>-2500000</v>
      </c>
      <c r="I121" s="75">
        <v>0</v>
      </c>
      <c r="J121" s="74" t="s">
        <v>145</v>
      </c>
      <c r="K121" s="74" t="s">
        <v>146</v>
      </c>
      <c r="L121" s="74" t="s">
        <v>146</v>
      </c>
      <c r="M121" s="74" t="s">
        <v>146</v>
      </c>
    </row>
    <row r="122" spans="1:13" s="17" customFormat="1" ht="15" customHeight="1" x14ac:dyDescent="0.25">
      <c r="A122" s="74" t="s">
        <v>241</v>
      </c>
      <c r="B122" s="74" t="s">
        <v>16</v>
      </c>
      <c r="C122" s="75">
        <v>8726740</v>
      </c>
      <c r="D122" s="76">
        <v>44043</v>
      </c>
      <c r="E122" s="76">
        <v>44151</v>
      </c>
      <c r="F122" s="74" t="s">
        <v>129</v>
      </c>
      <c r="G122" s="75">
        <v>0.38500000000000001</v>
      </c>
      <c r="H122" s="75">
        <v>74577300.599999994</v>
      </c>
      <c r="I122" s="75">
        <v>0</v>
      </c>
      <c r="J122" s="74" t="s">
        <v>145</v>
      </c>
      <c r="K122" s="74" t="s">
        <v>146</v>
      </c>
      <c r="L122" s="74" t="s">
        <v>146</v>
      </c>
      <c r="M122" s="74" t="s">
        <v>146</v>
      </c>
    </row>
    <row r="123" spans="1:13" s="17" customFormat="1" ht="15" customHeight="1" x14ac:dyDescent="0.25">
      <c r="A123" s="74" t="s">
        <v>390</v>
      </c>
      <c r="B123" s="74" t="s">
        <v>16</v>
      </c>
      <c r="C123" s="75">
        <v>8815032</v>
      </c>
      <c r="D123" s="76">
        <v>44064</v>
      </c>
      <c r="E123" s="76">
        <v>44068</v>
      </c>
      <c r="F123" s="74" t="s">
        <v>94</v>
      </c>
      <c r="G123" s="75">
        <v>105.598</v>
      </c>
      <c r="H123" s="75">
        <v>-620000</v>
      </c>
      <c r="I123" s="75">
        <v>0</v>
      </c>
      <c r="J123" s="74" t="s">
        <v>145</v>
      </c>
      <c r="K123" s="74" t="s">
        <v>146</v>
      </c>
      <c r="L123" s="74" t="s">
        <v>146</v>
      </c>
      <c r="M123" s="74" t="s">
        <v>146</v>
      </c>
    </row>
    <row r="124" spans="1:13" s="17" customFormat="1" ht="15" customHeight="1" x14ac:dyDescent="0.25">
      <c r="A124" s="74" t="s">
        <v>245</v>
      </c>
      <c r="B124" s="74" t="s">
        <v>28</v>
      </c>
      <c r="C124" s="75">
        <v>8575927</v>
      </c>
      <c r="D124" s="76">
        <v>44008</v>
      </c>
      <c r="E124" s="76">
        <v>44130</v>
      </c>
      <c r="F124" s="74" t="s">
        <v>123</v>
      </c>
      <c r="G124" s="75">
        <v>18.4529</v>
      </c>
      <c r="H124" s="75">
        <v>29524640</v>
      </c>
      <c r="I124" s="75">
        <v>0</v>
      </c>
      <c r="J124" s="74" t="s">
        <v>145</v>
      </c>
      <c r="K124" s="74" t="s">
        <v>146</v>
      </c>
      <c r="L124" s="74" t="s">
        <v>146</v>
      </c>
      <c r="M124" s="74" t="s">
        <v>146</v>
      </c>
    </row>
    <row r="125" spans="1:13" s="17" customFormat="1" ht="15" customHeight="1" x14ac:dyDescent="0.25">
      <c r="A125" s="74" t="s">
        <v>242</v>
      </c>
      <c r="B125" s="74" t="s">
        <v>28</v>
      </c>
      <c r="C125" s="75">
        <v>8576403</v>
      </c>
      <c r="D125" s="76">
        <v>44008</v>
      </c>
      <c r="E125" s="76">
        <v>44130</v>
      </c>
      <c r="F125" s="74" t="s">
        <v>243</v>
      </c>
      <c r="G125" s="75">
        <v>18.582899999999999</v>
      </c>
      <c r="H125" s="75">
        <v>-29732640</v>
      </c>
      <c r="I125" s="75">
        <v>0</v>
      </c>
      <c r="J125" s="74" t="s">
        <v>145</v>
      </c>
      <c r="K125" s="74" t="s">
        <v>243</v>
      </c>
      <c r="L125" s="74" t="s">
        <v>244</v>
      </c>
      <c r="M125" s="74" t="s">
        <v>146</v>
      </c>
    </row>
    <row r="126" spans="1:13" s="17" customFormat="1" ht="15" customHeight="1" x14ac:dyDescent="0.25">
      <c r="A126" s="74" t="s">
        <v>391</v>
      </c>
      <c r="B126" s="74" t="s">
        <v>55</v>
      </c>
      <c r="C126" s="75">
        <v>8816340</v>
      </c>
      <c r="D126" s="76">
        <v>44064</v>
      </c>
      <c r="E126" s="76">
        <v>44068</v>
      </c>
      <c r="F126" s="74" t="s">
        <v>94</v>
      </c>
      <c r="G126" s="75">
        <v>8.8074399999999997</v>
      </c>
      <c r="H126" s="75">
        <v>30000</v>
      </c>
      <c r="I126" s="75">
        <v>0</v>
      </c>
      <c r="J126" s="74" t="s">
        <v>145</v>
      </c>
      <c r="K126" s="74" t="s">
        <v>146</v>
      </c>
      <c r="L126" s="74" t="s">
        <v>146</v>
      </c>
      <c r="M126" s="74" t="s">
        <v>146</v>
      </c>
    </row>
    <row r="127" spans="1:13" s="17" customFormat="1" ht="15" customHeight="1" x14ac:dyDescent="0.25">
      <c r="A127" s="74" t="s">
        <v>246</v>
      </c>
      <c r="B127" s="74" t="s">
        <v>55</v>
      </c>
      <c r="C127" s="75">
        <v>8811119</v>
      </c>
      <c r="D127" s="76">
        <v>44063</v>
      </c>
      <c r="E127" s="76">
        <v>44067</v>
      </c>
      <c r="F127" s="74" t="s">
        <v>94</v>
      </c>
      <c r="G127" s="75">
        <v>8.7421900000000008</v>
      </c>
      <c r="H127" s="75">
        <v>30000</v>
      </c>
      <c r="I127" s="75">
        <v>0</v>
      </c>
      <c r="J127" s="74" t="s">
        <v>145</v>
      </c>
      <c r="K127" s="74" t="s">
        <v>146</v>
      </c>
      <c r="L127" s="74" t="s">
        <v>146</v>
      </c>
      <c r="M127" s="74" t="s">
        <v>146</v>
      </c>
    </row>
    <row r="128" spans="1:13" s="17" customFormat="1" ht="15" customHeight="1" x14ac:dyDescent="0.25">
      <c r="A128" s="74" t="s">
        <v>392</v>
      </c>
      <c r="B128" s="74" t="s">
        <v>24</v>
      </c>
      <c r="C128" s="75">
        <v>8813814</v>
      </c>
      <c r="D128" s="76">
        <v>44064</v>
      </c>
      <c r="E128" s="76">
        <v>44067</v>
      </c>
      <c r="F128" s="74" t="s">
        <v>94</v>
      </c>
      <c r="G128" s="75">
        <v>1.3671899999999999</v>
      </c>
      <c r="H128" s="75">
        <v>-150000</v>
      </c>
      <c r="I128" s="75">
        <v>0</v>
      </c>
      <c r="J128" s="74" t="s">
        <v>145</v>
      </c>
      <c r="K128" s="74" t="s">
        <v>146</v>
      </c>
      <c r="L128" s="74" t="s">
        <v>146</v>
      </c>
      <c r="M128" s="74" t="s">
        <v>146</v>
      </c>
    </row>
    <row r="129" spans="1:13" s="17" customFormat="1" ht="15" customHeight="1" x14ac:dyDescent="0.25">
      <c r="A129" s="74" t="s">
        <v>393</v>
      </c>
      <c r="B129" s="74" t="s">
        <v>24</v>
      </c>
      <c r="C129" s="75">
        <v>8816103</v>
      </c>
      <c r="D129" s="76">
        <v>44064</v>
      </c>
      <c r="E129" s="76">
        <v>44088</v>
      </c>
      <c r="F129" s="74" t="s">
        <v>96</v>
      </c>
      <c r="G129" s="75">
        <v>1.3712</v>
      </c>
      <c r="H129" s="75">
        <v>150000</v>
      </c>
      <c r="I129" s="75">
        <v>0</v>
      </c>
      <c r="J129" s="74" t="s">
        <v>145</v>
      </c>
      <c r="K129" s="74" t="s">
        <v>146</v>
      </c>
      <c r="L129" s="74" t="s">
        <v>146</v>
      </c>
      <c r="M129" s="74" t="s">
        <v>146</v>
      </c>
    </row>
    <row r="130" spans="1:13" s="17" customFormat="1" ht="15" customHeight="1" x14ac:dyDescent="0.25">
      <c r="A130" s="74" t="s">
        <v>394</v>
      </c>
      <c r="B130" s="74" t="s">
        <v>24</v>
      </c>
      <c r="C130" s="75">
        <v>8816102</v>
      </c>
      <c r="D130" s="76">
        <v>44064</v>
      </c>
      <c r="E130" s="76">
        <v>44067</v>
      </c>
      <c r="F130" s="74" t="s">
        <v>96</v>
      </c>
      <c r="G130" s="75">
        <v>1.3705799999999999</v>
      </c>
      <c r="H130" s="75">
        <v>-150000</v>
      </c>
      <c r="I130" s="75">
        <v>0</v>
      </c>
      <c r="J130" s="74" t="s">
        <v>145</v>
      </c>
      <c r="K130" s="74" t="s">
        <v>146</v>
      </c>
      <c r="L130" s="74" t="s">
        <v>146</v>
      </c>
      <c r="M130" s="74" t="s">
        <v>146</v>
      </c>
    </row>
    <row r="131" spans="1:13" s="17" customFormat="1" ht="15" customHeight="1" x14ac:dyDescent="0.25">
      <c r="A131" s="74" t="s">
        <v>395</v>
      </c>
      <c r="B131" s="74" t="s">
        <v>24</v>
      </c>
      <c r="C131" s="75">
        <v>8813405</v>
      </c>
      <c r="D131" s="76">
        <v>44064</v>
      </c>
      <c r="E131" s="76">
        <v>44067</v>
      </c>
      <c r="F131" s="74" t="s">
        <v>354</v>
      </c>
      <c r="G131" s="75">
        <v>29.35</v>
      </c>
      <c r="H131" s="75">
        <v>141864.75</v>
      </c>
      <c r="I131" s="75">
        <v>0</v>
      </c>
      <c r="J131" s="74" t="s">
        <v>145</v>
      </c>
      <c r="K131" s="74" t="s">
        <v>354</v>
      </c>
      <c r="L131" s="74" t="s">
        <v>364</v>
      </c>
      <c r="M131" s="74" t="s">
        <v>146</v>
      </c>
    </row>
    <row r="132" spans="1:13" s="17" customFormat="1" ht="15" customHeight="1" x14ac:dyDescent="0.25">
      <c r="A132" s="74" t="s">
        <v>396</v>
      </c>
      <c r="B132" s="74" t="s">
        <v>17</v>
      </c>
      <c r="C132" s="75">
        <v>8813491</v>
      </c>
      <c r="D132" s="76">
        <v>44064</v>
      </c>
      <c r="E132" s="76">
        <v>44067</v>
      </c>
      <c r="F132" s="74" t="s">
        <v>140</v>
      </c>
      <c r="G132" s="75">
        <v>39.9</v>
      </c>
      <c r="H132" s="75">
        <v>16920</v>
      </c>
      <c r="I132" s="75">
        <v>0</v>
      </c>
      <c r="J132" s="74" t="s">
        <v>145</v>
      </c>
      <c r="K132" s="74" t="s">
        <v>140</v>
      </c>
      <c r="L132" s="74" t="s">
        <v>151</v>
      </c>
      <c r="M132" s="74" t="s">
        <v>146</v>
      </c>
    </row>
    <row r="133" spans="1:13" s="17" customFormat="1" ht="15" customHeight="1" x14ac:dyDescent="0.25">
      <c r="A133" s="74" t="s">
        <v>397</v>
      </c>
      <c r="B133" s="74" t="s">
        <v>17</v>
      </c>
      <c r="C133" s="75">
        <v>8814470</v>
      </c>
      <c r="D133" s="76">
        <v>44064</v>
      </c>
      <c r="E133" s="76">
        <v>44068</v>
      </c>
      <c r="F133" s="74" t="s">
        <v>94</v>
      </c>
      <c r="G133" s="75">
        <v>17.27291</v>
      </c>
      <c r="H133" s="75">
        <v>16094.57</v>
      </c>
      <c r="I133" s="75">
        <v>0</v>
      </c>
      <c r="J133" s="74" t="s">
        <v>145</v>
      </c>
      <c r="K133" s="74" t="s">
        <v>146</v>
      </c>
      <c r="L133" s="74" t="s">
        <v>146</v>
      </c>
      <c r="M133" s="74" t="s">
        <v>146</v>
      </c>
    </row>
    <row r="134" spans="1:13" s="17" customFormat="1" ht="15" customHeight="1" x14ac:dyDescent="0.25">
      <c r="A134" s="74" t="s">
        <v>398</v>
      </c>
      <c r="B134" s="74" t="s">
        <v>17</v>
      </c>
      <c r="C134" s="75">
        <v>8815026</v>
      </c>
      <c r="D134" s="76">
        <v>44064</v>
      </c>
      <c r="E134" s="76">
        <v>44067</v>
      </c>
      <c r="F134" s="74" t="s">
        <v>94</v>
      </c>
      <c r="G134" s="75">
        <v>1.3193900000000001</v>
      </c>
      <c r="H134" s="75">
        <v>-15158.52</v>
      </c>
      <c r="I134" s="75">
        <v>0</v>
      </c>
      <c r="J134" s="74" t="s">
        <v>145</v>
      </c>
      <c r="K134" s="74" t="s">
        <v>146</v>
      </c>
      <c r="L134" s="74" t="s">
        <v>146</v>
      </c>
      <c r="M134" s="74" t="s">
        <v>146</v>
      </c>
    </row>
    <row r="135" spans="1:13" s="17" customFormat="1" ht="15" customHeight="1" x14ac:dyDescent="0.25">
      <c r="A135" s="74" t="s">
        <v>399</v>
      </c>
      <c r="B135" s="74" t="s">
        <v>17</v>
      </c>
      <c r="C135" s="75">
        <v>8816340</v>
      </c>
      <c r="D135" s="76">
        <v>44064</v>
      </c>
      <c r="E135" s="76">
        <v>44068</v>
      </c>
      <c r="F135" s="74" t="s">
        <v>94</v>
      </c>
      <c r="G135" s="75">
        <v>8.8074399999999997</v>
      </c>
      <c r="H135" s="75">
        <v>-3406.21</v>
      </c>
      <c r="I135" s="75">
        <v>0</v>
      </c>
      <c r="J135" s="74" t="s">
        <v>145</v>
      </c>
      <c r="K135" s="74" t="s">
        <v>146</v>
      </c>
      <c r="L135" s="74" t="s">
        <v>146</v>
      </c>
      <c r="M135" s="74" t="s">
        <v>146</v>
      </c>
    </row>
    <row r="136" spans="1:13" s="17" customFormat="1" ht="15" customHeight="1" x14ac:dyDescent="0.25">
      <c r="A136" s="74" t="s">
        <v>400</v>
      </c>
      <c r="B136" s="74" t="s">
        <v>17</v>
      </c>
      <c r="C136" s="75">
        <v>8816339</v>
      </c>
      <c r="D136" s="76">
        <v>44064</v>
      </c>
      <c r="E136" s="76">
        <v>44068</v>
      </c>
      <c r="F136" s="74" t="s">
        <v>94</v>
      </c>
      <c r="G136" s="75">
        <v>105.821</v>
      </c>
      <c r="H136" s="75">
        <v>23624.799999999999</v>
      </c>
      <c r="I136" s="75">
        <v>0</v>
      </c>
      <c r="J136" s="74" t="s">
        <v>145</v>
      </c>
      <c r="K136" s="74" t="s">
        <v>146</v>
      </c>
      <c r="L136" s="74" t="s">
        <v>146</v>
      </c>
      <c r="M136" s="74" t="s">
        <v>146</v>
      </c>
    </row>
    <row r="137" spans="1:13" s="17" customFormat="1" ht="15" customHeight="1" x14ac:dyDescent="0.25">
      <c r="A137" s="74" t="s">
        <v>401</v>
      </c>
      <c r="B137" s="74" t="s">
        <v>17</v>
      </c>
      <c r="C137" s="75">
        <v>8816329</v>
      </c>
      <c r="D137" s="76">
        <v>44064</v>
      </c>
      <c r="E137" s="76">
        <v>44068</v>
      </c>
      <c r="F137" s="74" t="s">
        <v>94</v>
      </c>
      <c r="G137" s="75">
        <v>0.91356000000000004</v>
      </c>
      <c r="H137" s="75">
        <v>147773.54999999999</v>
      </c>
      <c r="I137" s="75">
        <v>0</v>
      </c>
      <c r="J137" s="74" t="s">
        <v>145</v>
      </c>
      <c r="K137" s="74" t="s">
        <v>146</v>
      </c>
      <c r="L137" s="74" t="s">
        <v>146</v>
      </c>
      <c r="M137" s="74" t="s">
        <v>146</v>
      </c>
    </row>
    <row r="138" spans="1:13" s="17" customFormat="1" ht="15" customHeight="1" x14ac:dyDescent="0.25">
      <c r="A138" s="74" t="s">
        <v>402</v>
      </c>
      <c r="B138" s="74" t="s">
        <v>17</v>
      </c>
      <c r="C138" s="75">
        <v>8813814</v>
      </c>
      <c r="D138" s="76">
        <v>44064</v>
      </c>
      <c r="E138" s="76">
        <v>44067</v>
      </c>
      <c r="F138" s="74" t="s">
        <v>94</v>
      </c>
      <c r="G138" s="75">
        <v>1.3671899999999999</v>
      </c>
      <c r="H138" s="75">
        <v>109714</v>
      </c>
      <c r="I138" s="75">
        <v>0</v>
      </c>
      <c r="J138" s="74" t="s">
        <v>145</v>
      </c>
      <c r="K138" s="74" t="s">
        <v>146</v>
      </c>
      <c r="L138" s="74" t="s">
        <v>146</v>
      </c>
      <c r="M138" s="74" t="s">
        <v>146</v>
      </c>
    </row>
    <row r="139" spans="1:13" s="17" customFormat="1" ht="15" customHeight="1" x14ac:dyDescent="0.25">
      <c r="A139" s="74" t="s">
        <v>403</v>
      </c>
      <c r="B139" s="74" t="s">
        <v>17</v>
      </c>
      <c r="C139" s="75">
        <v>8816090</v>
      </c>
      <c r="D139" s="76">
        <v>44064</v>
      </c>
      <c r="E139" s="76">
        <v>44067</v>
      </c>
      <c r="F139" s="74" t="s">
        <v>96</v>
      </c>
      <c r="G139" s="75">
        <v>3.6726999999999999</v>
      </c>
      <c r="H139" s="75">
        <v>272279.46999999997</v>
      </c>
      <c r="I139" s="75">
        <v>0</v>
      </c>
      <c r="J139" s="74" t="s">
        <v>145</v>
      </c>
      <c r="K139" s="74" t="s">
        <v>146</v>
      </c>
      <c r="L139" s="74" t="s">
        <v>146</v>
      </c>
      <c r="M139" s="74" t="s">
        <v>146</v>
      </c>
    </row>
    <row r="140" spans="1:13" s="17" customFormat="1" ht="15" customHeight="1" x14ac:dyDescent="0.25">
      <c r="A140" s="74" t="s">
        <v>404</v>
      </c>
      <c r="B140" s="74" t="s">
        <v>17</v>
      </c>
      <c r="C140" s="75">
        <v>8816091</v>
      </c>
      <c r="D140" s="76">
        <v>44064</v>
      </c>
      <c r="E140" s="76">
        <v>44088</v>
      </c>
      <c r="F140" s="74" t="s">
        <v>96</v>
      </c>
      <c r="G140" s="75">
        <v>3.6730900000000002</v>
      </c>
      <c r="H140" s="75">
        <v>-272250.12</v>
      </c>
      <c r="I140" s="75">
        <v>0</v>
      </c>
      <c r="J140" s="74" t="s">
        <v>145</v>
      </c>
      <c r="K140" s="74" t="s">
        <v>146</v>
      </c>
      <c r="L140" s="74" t="s">
        <v>146</v>
      </c>
      <c r="M140" s="74" t="s">
        <v>146</v>
      </c>
    </row>
    <row r="141" spans="1:13" s="17" customFormat="1" ht="15" customHeight="1" x14ac:dyDescent="0.25">
      <c r="A141" s="74" t="s">
        <v>405</v>
      </c>
      <c r="B141" s="74" t="s">
        <v>17</v>
      </c>
      <c r="C141" s="75">
        <v>8813828</v>
      </c>
      <c r="D141" s="76">
        <v>44064</v>
      </c>
      <c r="E141" s="76">
        <v>44067</v>
      </c>
      <c r="F141" s="74" t="s">
        <v>135</v>
      </c>
      <c r="G141" s="75">
        <v>39.79</v>
      </c>
      <c r="H141" s="75">
        <v>93711.93</v>
      </c>
      <c r="I141" s="75">
        <v>0</v>
      </c>
      <c r="J141" s="74" t="s">
        <v>145</v>
      </c>
      <c r="K141" s="74" t="s">
        <v>135</v>
      </c>
      <c r="L141" s="74" t="s">
        <v>155</v>
      </c>
      <c r="M141" s="74" t="s">
        <v>146</v>
      </c>
    </row>
    <row r="142" spans="1:13" s="17" customFormat="1" ht="15" customHeight="1" x14ac:dyDescent="0.25">
      <c r="A142" s="74" t="s">
        <v>304</v>
      </c>
      <c r="B142" s="74" t="s">
        <v>17</v>
      </c>
      <c r="C142" s="75">
        <v>8497262</v>
      </c>
      <c r="D142" s="76">
        <v>43990</v>
      </c>
      <c r="E142" s="76">
        <v>44095</v>
      </c>
      <c r="F142" s="74" t="s">
        <v>105</v>
      </c>
      <c r="G142" s="75">
        <v>40.200000000000003</v>
      </c>
      <c r="H142" s="75">
        <v>80000</v>
      </c>
      <c r="I142" s="75">
        <v>0</v>
      </c>
      <c r="J142" s="74" t="s">
        <v>145</v>
      </c>
      <c r="K142" s="74" t="s">
        <v>105</v>
      </c>
      <c r="L142" s="74" t="s">
        <v>169</v>
      </c>
      <c r="M142" s="74" t="s">
        <v>146</v>
      </c>
    </row>
    <row r="143" spans="1:13" s="17" customFormat="1" ht="15" customHeight="1" x14ac:dyDescent="0.25">
      <c r="A143" s="74" t="s">
        <v>406</v>
      </c>
      <c r="B143" s="74" t="s">
        <v>17</v>
      </c>
      <c r="C143" s="75">
        <v>8816103</v>
      </c>
      <c r="D143" s="76">
        <v>44064</v>
      </c>
      <c r="E143" s="76">
        <v>44088</v>
      </c>
      <c r="F143" s="74" t="s">
        <v>96</v>
      </c>
      <c r="G143" s="75">
        <v>1.3712</v>
      </c>
      <c r="H143" s="75">
        <v>-109393.63</v>
      </c>
      <c r="I143" s="75">
        <v>0</v>
      </c>
      <c r="J143" s="74" t="s">
        <v>145</v>
      </c>
      <c r="K143" s="74" t="s">
        <v>146</v>
      </c>
      <c r="L143" s="74" t="s">
        <v>146</v>
      </c>
      <c r="M143" s="74" t="s">
        <v>146</v>
      </c>
    </row>
    <row r="144" spans="1:13" s="17" customFormat="1" ht="15" customHeight="1" x14ac:dyDescent="0.25">
      <c r="A144" s="74" t="s">
        <v>407</v>
      </c>
      <c r="B144" s="74" t="s">
        <v>17</v>
      </c>
      <c r="C144" s="75">
        <v>8816102</v>
      </c>
      <c r="D144" s="76">
        <v>44064</v>
      </c>
      <c r="E144" s="76">
        <v>44067</v>
      </c>
      <c r="F144" s="74" t="s">
        <v>96</v>
      </c>
      <c r="G144" s="75">
        <v>1.3705799999999999</v>
      </c>
      <c r="H144" s="75">
        <v>109442.96</v>
      </c>
      <c r="I144" s="75">
        <v>0</v>
      </c>
      <c r="J144" s="74" t="s">
        <v>145</v>
      </c>
      <c r="K144" s="74" t="s">
        <v>146</v>
      </c>
      <c r="L144" s="74" t="s">
        <v>146</v>
      </c>
      <c r="M144" s="74" t="s">
        <v>146</v>
      </c>
    </row>
    <row r="145" spans="1:13" s="17" customFormat="1" ht="15" customHeight="1" x14ac:dyDescent="0.25">
      <c r="A145" s="74" t="s">
        <v>408</v>
      </c>
      <c r="B145" s="74" t="s">
        <v>17</v>
      </c>
      <c r="C145" s="75">
        <v>8816323</v>
      </c>
      <c r="D145" s="76">
        <v>44064</v>
      </c>
      <c r="E145" s="76">
        <v>44068</v>
      </c>
      <c r="F145" s="74" t="s">
        <v>94</v>
      </c>
      <c r="G145" s="75">
        <v>1.31029</v>
      </c>
      <c r="H145" s="75">
        <v>-17033.77</v>
      </c>
      <c r="I145" s="75">
        <v>0</v>
      </c>
      <c r="J145" s="74" t="s">
        <v>145</v>
      </c>
      <c r="K145" s="74" t="s">
        <v>146</v>
      </c>
      <c r="L145" s="74" t="s">
        <v>146</v>
      </c>
      <c r="M145" s="74" t="s">
        <v>146</v>
      </c>
    </row>
    <row r="146" spans="1:13" s="17" customFormat="1" ht="15" customHeight="1" x14ac:dyDescent="0.25">
      <c r="A146" s="74" t="s">
        <v>409</v>
      </c>
      <c r="B146" s="74" t="s">
        <v>17</v>
      </c>
      <c r="C146" s="75">
        <v>8815264</v>
      </c>
      <c r="D146" s="76">
        <v>44064</v>
      </c>
      <c r="E146" s="76">
        <v>44089</v>
      </c>
      <c r="F146" s="74" t="s">
        <v>118</v>
      </c>
      <c r="G146" s="75">
        <v>39.799999999999997</v>
      </c>
      <c r="H146" s="75">
        <v>402672.19</v>
      </c>
      <c r="I146" s="75">
        <v>0</v>
      </c>
      <c r="J146" s="74" t="s">
        <v>145</v>
      </c>
      <c r="K146" s="74" t="s">
        <v>118</v>
      </c>
      <c r="L146" s="74" t="s">
        <v>155</v>
      </c>
      <c r="M146" s="74" t="s">
        <v>146</v>
      </c>
    </row>
    <row r="147" spans="1:13" s="17" customFormat="1" ht="15" customHeight="1" x14ac:dyDescent="0.25">
      <c r="A147" s="74" t="s">
        <v>410</v>
      </c>
      <c r="B147" s="74" t="s">
        <v>17</v>
      </c>
      <c r="C147" s="75">
        <v>8815163</v>
      </c>
      <c r="D147" s="76">
        <v>44064</v>
      </c>
      <c r="E147" s="76">
        <v>44068</v>
      </c>
      <c r="F147" s="74" t="s">
        <v>96</v>
      </c>
      <c r="G147" s="75">
        <v>1.17855</v>
      </c>
      <c r="H147" s="75">
        <v>136711.79999999999</v>
      </c>
      <c r="I147" s="75">
        <v>0</v>
      </c>
      <c r="J147" s="74" t="s">
        <v>145</v>
      </c>
      <c r="K147" s="74" t="s">
        <v>146</v>
      </c>
      <c r="L147" s="74" t="s">
        <v>146</v>
      </c>
      <c r="M147" s="74" t="s">
        <v>146</v>
      </c>
    </row>
    <row r="148" spans="1:13" s="17" customFormat="1" ht="15" customHeight="1" x14ac:dyDescent="0.25">
      <c r="A148" s="74" t="s">
        <v>411</v>
      </c>
      <c r="B148" s="74" t="s">
        <v>17</v>
      </c>
      <c r="C148" s="75">
        <v>8815025</v>
      </c>
      <c r="D148" s="76">
        <v>44064</v>
      </c>
      <c r="E148" s="76">
        <v>44068</v>
      </c>
      <c r="F148" s="74" t="s">
        <v>94</v>
      </c>
      <c r="G148" s="75">
        <v>1.1814800000000001</v>
      </c>
      <c r="H148" s="75">
        <v>-70888.800000000003</v>
      </c>
      <c r="I148" s="75">
        <v>0</v>
      </c>
      <c r="J148" s="74" t="s">
        <v>145</v>
      </c>
      <c r="K148" s="74" t="s">
        <v>146</v>
      </c>
      <c r="L148" s="74" t="s">
        <v>146</v>
      </c>
      <c r="M148" s="74" t="s">
        <v>146</v>
      </c>
    </row>
    <row r="149" spans="1:13" s="17" customFormat="1" ht="15" customHeight="1" x14ac:dyDescent="0.25">
      <c r="A149" s="74" t="s">
        <v>412</v>
      </c>
      <c r="B149" s="74" t="s">
        <v>17</v>
      </c>
      <c r="C149" s="75">
        <v>8814465</v>
      </c>
      <c r="D149" s="76">
        <v>44064</v>
      </c>
      <c r="E149" s="76">
        <v>44068</v>
      </c>
      <c r="F149" s="74" t="s">
        <v>94</v>
      </c>
      <c r="G149" s="75">
        <v>1.31918</v>
      </c>
      <c r="H149" s="75">
        <v>-129279.64</v>
      </c>
      <c r="I149" s="75">
        <v>0</v>
      </c>
      <c r="J149" s="74" t="s">
        <v>145</v>
      </c>
      <c r="K149" s="74" t="s">
        <v>146</v>
      </c>
      <c r="L149" s="74" t="s">
        <v>146</v>
      </c>
      <c r="M149" s="74" t="s">
        <v>146</v>
      </c>
    </row>
    <row r="150" spans="1:13" s="17" customFormat="1" ht="15" customHeight="1" x14ac:dyDescent="0.25">
      <c r="A150" s="74" t="s">
        <v>413</v>
      </c>
      <c r="B150" s="74" t="s">
        <v>17</v>
      </c>
      <c r="C150" s="75">
        <v>8814073</v>
      </c>
      <c r="D150" s="76">
        <v>44064</v>
      </c>
      <c r="E150" s="76">
        <v>44068</v>
      </c>
      <c r="F150" s="74" t="s">
        <v>130</v>
      </c>
      <c r="G150" s="75">
        <v>1.1815199999999999</v>
      </c>
      <c r="H150" s="75">
        <v>-2363040</v>
      </c>
      <c r="I150" s="75">
        <v>0</v>
      </c>
      <c r="J150" s="74" t="s">
        <v>145</v>
      </c>
      <c r="K150" s="74" t="s">
        <v>146</v>
      </c>
      <c r="L150" s="74" t="s">
        <v>146</v>
      </c>
      <c r="M150" s="74" t="s">
        <v>146</v>
      </c>
    </row>
    <row r="151" spans="1:13" s="17" customFormat="1" ht="15" customHeight="1" x14ac:dyDescent="0.25">
      <c r="A151" s="74" t="s">
        <v>414</v>
      </c>
      <c r="B151" s="74" t="s">
        <v>17</v>
      </c>
      <c r="C151" s="75">
        <v>8814068</v>
      </c>
      <c r="D151" s="76">
        <v>44064</v>
      </c>
      <c r="E151" s="76">
        <v>44068</v>
      </c>
      <c r="F151" s="74" t="s">
        <v>130</v>
      </c>
      <c r="G151" s="75">
        <v>1.1835199999999999</v>
      </c>
      <c r="H151" s="75">
        <v>2367040</v>
      </c>
      <c r="I151" s="75">
        <v>0</v>
      </c>
      <c r="J151" s="74" t="s">
        <v>145</v>
      </c>
      <c r="K151" s="74" t="s">
        <v>146</v>
      </c>
      <c r="L151" s="74" t="s">
        <v>146</v>
      </c>
      <c r="M151" s="74" t="s">
        <v>146</v>
      </c>
    </row>
    <row r="152" spans="1:13" s="17" customFormat="1" ht="15" customHeight="1" x14ac:dyDescent="0.25">
      <c r="A152" s="74" t="s">
        <v>415</v>
      </c>
      <c r="B152" s="74" t="s">
        <v>17</v>
      </c>
      <c r="C152" s="75">
        <v>8813822</v>
      </c>
      <c r="D152" s="76">
        <v>44064</v>
      </c>
      <c r="E152" s="76">
        <v>44068</v>
      </c>
      <c r="F152" s="74" t="s">
        <v>94</v>
      </c>
      <c r="G152" s="75">
        <v>1.1843999999999999</v>
      </c>
      <c r="H152" s="75">
        <v>381376.8</v>
      </c>
      <c r="I152" s="75">
        <v>0</v>
      </c>
      <c r="J152" s="74" t="s">
        <v>145</v>
      </c>
      <c r="K152" s="74" t="s">
        <v>146</v>
      </c>
      <c r="L152" s="74" t="s">
        <v>146</v>
      </c>
      <c r="M152" s="74" t="s">
        <v>146</v>
      </c>
    </row>
    <row r="153" spans="1:13" s="17" customFormat="1" ht="15" customHeight="1" x14ac:dyDescent="0.25">
      <c r="A153" s="74" t="s">
        <v>416</v>
      </c>
      <c r="B153" s="74" t="s">
        <v>17</v>
      </c>
      <c r="C153" s="75">
        <v>8815225</v>
      </c>
      <c r="D153" s="76">
        <v>44064</v>
      </c>
      <c r="E153" s="76">
        <v>44068</v>
      </c>
      <c r="F153" s="74" t="s">
        <v>94</v>
      </c>
      <c r="G153" s="75">
        <v>17.262160000000002</v>
      </c>
      <c r="H153" s="75">
        <v>9268.83</v>
      </c>
      <c r="I153" s="75">
        <v>0</v>
      </c>
      <c r="J153" s="74" t="s">
        <v>145</v>
      </c>
      <c r="K153" s="74" t="s">
        <v>146</v>
      </c>
      <c r="L153" s="74" t="s">
        <v>146</v>
      </c>
      <c r="M153" s="74" t="s">
        <v>146</v>
      </c>
    </row>
    <row r="154" spans="1:13" s="17" customFormat="1" ht="15" customHeight="1" x14ac:dyDescent="0.25">
      <c r="A154" s="74" t="s">
        <v>417</v>
      </c>
      <c r="B154" s="74" t="s">
        <v>17</v>
      </c>
      <c r="C154" s="75">
        <v>8815226</v>
      </c>
      <c r="D154" s="76">
        <v>44064</v>
      </c>
      <c r="E154" s="76">
        <v>44068</v>
      </c>
      <c r="F154" s="74" t="s">
        <v>94</v>
      </c>
      <c r="G154" s="75">
        <v>1.17927</v>
      </c>
      <c r="H154" s="75">
        <v>490576.32</v>
      </c>
      <c r="I154" s="75">
        <v>0</v>
      </c>
      <c r="J154" s="74" t="s">
        <v>145</v>
      </c>
      <c r="K154" s="74" t="s">
        <v>146</v>
      </c>
      <c r="L154" s="74" t="s">
        <v>146</v>
      </c>
      <c r="M154" s="74" t="s">
        <v>146</v>
      </c>
    </row>
    <row r="155" spans="1:13" s="17" customFormat="1" ht="15" customHeight="1" x14ac:dyDescent="0.25">
      <c r="A155" s="74" t="s">
        <v>418</v>
      </c>
      <c r="B155" s="74" t="s">
        <v>17</v>
      </c>
      <c r="C155" s="75">
        <v>8816083</v>
      </c>
      <c r="D155" s="76">
        <v>44064</v>
      </c>
      <c r="E155" s="76">
        <v>44071</v>
      </c>
      <c r="F155" s="74" t="s">
        <v>96</v>
      </c>
      <c r="G155" s="75">
        <v>1.1778500000000001</v>
      </c>
      <c r="H155" s="75">
        <v>-17667735</v>
      </c>
      <c r="I155" s="75">
        <v>0</v>
      </c>
      <c r="J155" s="74" t="s">
        <v>145</v>
      </c>
      <c r="K155" s="74" t="s">
        <v>146</v>
      </c>
      <c r="L155" s="74" t="s">
        <v>146</v>
      </c>
      <c r="M155" s="74" t="s">
        <v>146</v>
      </c>
    </row>
    <row r="156" spans="1:13" s="17" customFormat="1" ht="15" customHeight="1" x14ac:dyDescent="0.25">
      <c r="A156" s="74" t="s">
        <v>419</v>
      </c>
      <c r="B156" s="74" t="s">
        <v>17</v>
      </c>
      <c r="C156" s="75">
        <v>8813761</v>
      </c>
      <c r="D156" s="76">
        <v>44064</v>
      </c>
      <c r="E156" s="76">
        <v>44068</v>
      </c>
      <c r="F156" s="74" t="s">
        <v>133</v>
      </c>
      <c r="G156" s="75">
        <v>1.1845000000000001</v>
      </c>
      <c r="H156" s="75">
        <v>2369000</v>
      </c>
      <c r="I156" s="75">
        <v>0</v>
      </c>
      <c r="J156" s="74" t="s">
        <v>145</v>
      </c>
      <c r="K156" s="74" t="s">
        <v>146</v>
      </c>
      <c r="L156" s="74" t="s">
        <v>146</v>
      </c>
      <c r="M156" s="74" t="s">
        <v>146</v>
      </c>
    </row>
    <row r="157" spans="1:13" s="17" customFormat="1" ht="15" customHeight="1" x14ac:dyDescent="0.25">
      <c r="A157" s="74" t="s">
        <v>420</v>
      </c>
      <c r="B157" s="74" t="s">
        <v>17</v>
      </c>
      <c r="C157" s="75">
        <v>8815032</v>
      </c>
      <c r="D157" s="76">
        <v>44064</v>
      </c>
      <c r="E157" s="76">
        <v>44068</v>
      </c>
      <c r="F157" s="74" t="s">
        <v>94</v>
      </c>
      <c r="G157" s="75">
        <v>105.598</v>
      </c>
      <c r="H157" s="75">
        <v>5871.32</v>
      </c>
      <c r="I157" s="75">
        <v>0</v>
      </c>
      <c r="J157" s="74" t="s">
        <v>145</v>
      </c>
      <c r="K157" s="74" t="s">
        <v>146</v>
      </c>
      <c r="L157" s="74" t="s">
        <v>146</v>
      </c>
      <c r="M157" s="74" t="s">
        <v>146</v>
      </c>
    </row>
    <row r="158" spans="1:13" s="17" customFormat="1" ht="15" customHeight="1" x14ac:dyDescent="0.25">
      <c r="A158" s="74" t="s">
        <v>421</v>
      </c>
      <c r="B158" s="74" t="s">
        <v>17</v>
      </c>
      <c r="C158" s="75">
        <v>8813753</v>
      </c>
      <c r="D158" s="76">
        <v>44064</v>
      </c>
      <c r="E158" s="76">
        <v>44068</v>
      </c>
      <c r="F158" s="74" t="s">
        <v>133</v>
      </c>
      <c r="G158" s="75">
        <v>1.1841900000000001</v>
      </c>
      <c r="H158" s="75">
        <v>-2368380</v>
      </c>
      <c r="I158" s="75">
        <v>0</v>
      </c>
      <c r="J158" s="74" t="s">
        <v>145</v>
      </c>
      <c r="K158" s="74" t="s">
        <v>146</v>
      </c>
      <c r="L158" s="74" t="s">
        <v>146</v>
      </c>
      <c r="M158" s="74" t="s">
        <v>146</v>
      </c>
    </row>
    <row r="159" spans="1:13" s="17" customFormat="1" ht="15" customHeight="1" x14ac:dyDescent="0.25">
      <c r="A159" s="74" t="s">
        <v>422</v>
      </c>
      <c r="B159" s="74" t="s">
        <v>17</v>
      </c>
      <c r="C159" s="75">
        <v>8813743</v>
      </c>
      <c r="D159" s="76">
        <v>44064</v>
      </c>
      <c r="E159" s="76">
        <v>44068</v>
      </c>
      <c r="F159" s="74" t="s">
        <v>130</v>
      </c>
      <c r="G159" s="75">
        <v>1.1845000000000001</v>
      </c>
      <c r="H159" s="75">
        <v>-2369000</v>
      </c>
      <c r="I159" s="75">
        <v>0</v>
      </c>
      <c r="J159" s="74" t="s">
        <v>145</v>
      </c>
      <c r="K159" s="74" t="s">
        <v>146</v>
      </c>
      <c r="L159" s="74" t="s">
        <v>146</v>
      </c>
      <c r="M159" s="74" t="s">
        <v>146</v>
      </c>
    </row>
    <row r="160" spans="1:13" s="17" customFormat="1" ht="15" customHeight="1" x14ac:dyDescent="0.25">
      <c r="A160" s="74" t="s">
        <v>423</v>
      </c>
      <c r="B160" s="74" t="s">
        <v>17</v>
      </c>
      <c r="C160" s="75">
        <v>8813735</v>
      </c>
      <c r="D160" s="76">
        <v>44064</v>
      </c>
      <c r="E160" s="76">
        <v>44068</v>
      </c>
      <c r="F160" s="74" t="s">
        <v>130</v>
      </c>
      <c r="G160" s="75">
        <v>1.1841900000000001</v>
      </c>
      <c r="H160" s="75">
        <v>2368380</v>
      </c>
      <c r="I160" s="75">
        <v>0</v>
      </c>
      <c r="J160" s="74" t="s">
        <v>145</v>
      </c>
      <c r="K160" s="74" t="s">
        <v>146</v>
      </c>
      <c r="L160" s="74" t="s">
        <v>146</v>
      </c>
      <c r="M160" s="74" t="s">
        <v>146</v>
      </c>
    </row>
    <row r="161" spans="1:13" s="17" customFormat="1" ht="15" customHeight="1" x14ac:dyDescent="0.25">
      <c r="A161" s="74" t="s">
        <v>424</v>
      </c>
      <c r="B161" s="74" t="s">
        <v>17</v>
      </c>
      <c r="C161" s="75">
        <v>8813701</v>
      </c>
      <c r="D161" s="76">
        <v>44064</v>
      </c>
      <c r="E161" s="76">
        <v>44068</v>
      </c>
      <c r="F161" s="74" t="s">
        <v>133</v>
      </c>
      <c r="G161" s="75">
        <v>1.1873</v>
      </c>
      <c r="H161" s="75">
        <v>-1187300</v>
      </c>
      <c r="I161" s="75">
        <v>0</v>
      </c>
      <c r="J161" s="74" t="s">
        <v>145</v>
      </c>
      <c r="K161" s="74" t="s">
        <v>146</v>
      </c>
      <c r="L161" s="74" t="s">
        <v>146</v>
      </c>
      <c r="M161" s="74" t="s">
        <v>146</v>
      </c>
    </row>
    <row r="162" spans="1:13" s="17" customFormat="1" ht="15" customHeight="1" x14ac:dyDescent="0.25">
      <c r="A162" s="74" t="s">
        <v>425</v>
      </c>
      <c r="B162" s="74" t="s">
        <v>17</v>
      </c>
      <c r="C162" s="75">
        <v>8815281</v>
      </c>
      <c r="D162" s="76">
        <v>44064</v>
      </c>
      <c r="E162" s="76">
        <v>44102</v>
      </c>
      <c r="F162" s="74" t="s">
        <v>118</v>
      </c>
      <c r="G162" s="75">
        <v>39.82</v>
      </c>
      <c r="H162" s="75">
        <v>137046.20000000001</v>
      </c>
      <c r="I162" s="75">
        <v>0</v>
      </c>
      <c r="J162" s="74" t="s">
        <v>145</v>
      </c>
      <c r="K162" s="74" t="s">
        <v>118</v>
      </c>
      <c r="L162" s="74" t="s">
        <v>155</v>
      </c>
      <c r="M162" s="74" t="s">
        <v>146</v>
      </c>
    </row>
    <row r="163" spans="1:13" s="17" customFormat="1" ht="15" customHeight="1" x14ac:dyDescent="0.25">
      <c r="A163" s="74" t="s">
        <v>426</v>
      </c>
      <c r="B163" s="74" t="s">
        <v>17</v>
      </c>
      <c r="C163" s="75">
        <v>8813579</v>
      </c>
      <c r="D163" s="76">
        <v>44064</v>
      </c>
      <c r="E163" s="76">
        <v>44068</v>
      </c>
      <c r="F163" s="74" t="s">
        <v>96</v>
      </c>
      <c r="G163" s="75">
        <v>1.1873</v>
      </c>
      <c r="H163" s="75">
        <v>1187300</v>
      </c>
      <c r="I163" s="75">
        <v>0</v>
      </c>
      <c r="J163" s="74" t="s">
        <v>145</v>
      </c>
      <c r="K163" s="74" t="s">
        <v>146</v>
      </c>
      <c r="L163" s="74" t="s">
        <v>146</v>
      </c>
      <c r="M163" s="74" t="s">
        <v>146</v>
      </c>
    </row>
    <row r="164" spans="1:13" s="17" customFormat="1" ht="15" customHeight="1" x14ac:dyDescent="0.25">
      <c r="A164" s="74" t="s">
        <v>427</v>
      </c>
      <c r="B164" s="74" t="s">
        <v>17</v>
      </c>
      <c r="C164" s="75">
        <v>8813548</v>
      </c>
      <c r="D164" s="76">
        <v>44064</v>
      </c>
      <c r="E164" s="76">
        <v>44067</v>
      </c>
      <c r="F164" s="74" t="s">
        <v>118</v>
      </c>
      <c r="G164" s="75">
        <v>1.1876</v>
      </c>
      <c r="H164" s="75">
        <v>-475040</v>
      </c>
      <c r="I164" s="75">
        <v>0</v>
      </c>
      <c r="J164" s="74" t="s">
        <v>145</v>
      </c>
      <c r="K164" s="74" t="s">
        <v>118</v>
      </c>
      <c r="L164" s="74" t="s">
        <v>155</v>
      </c>
      <c r="M164" s="74" t="s">
        <v>146</v>
      </c>
    </row>
    <row r="165" spans="1:13" s="17" customFormat="1" ht="15" customHeight="1" x14ac:dyDescent="0.25">
      <c r="A165" s="74" t="s">
        <v>428</v>
      </c>
      <c r="B165" s="74" t="s">
        <v>17</v>
      </c>
      <c r="C165" s="75">
        <v>8813439</v>
      </c>
      <c r="D165" s="76">
        <v>44064</v>
      </c>
      <c r="E165" s="76">
        <v>44068</v>
      </c>
      <c r="F165" s="74" t="s">
        <v>94</v>
      </c>
      <c r="G165" s="75">
        <v>1.1870799999999999</v>
      </c>
      <c r="H165" s="75">
        <v>-118708</v>
      </c>
      <c r="I165" s="75">
        <v>0</v>
      </c>
      <c r="J165" s="74" t="s">
        <v>145</v>
      </c>
      <c r="K165" s="74" t="s">
        <v>146</v>
      </c>
      <c r="L165" s="74" t="s">
        <v>146</v>
      </c>
      <c r="M165" s="74" t="s">
        <v>146</v>
      </c>
    </row>
    <row r="166" spans="1:13" s="17" customFormat="1" ht="15" customHeight="1" x14ac:dyDescent="0.25">
      <c r="A166" s="74" t="s">
        <v>429</v>
      </c>
      <c r="B166" s="74" t="s">
        <v>17</v>
      </c>
      <c r="C166" s="75">
        <v>8813320</v>
      </c>
      <c r="D166" s="76">
        <v>44064</v>
      </c>
      <c r="E166" s="76">
        <v>44068</v>
      </c>
      <c r="F166" s="74" t="s">
        <v>94</v>
      </c>
      <c r="G166" s="75">
        <v>1.32358</v>
      </c>
      <c r="H166" s="75">
        <v>-66179</v>
      </c>
      <c r="I166" s="75">
        <v>0</v>
      </c>
      <c r="J166" s="74" t="s">
        <v>145</v>
      </c>
      <c r="K166" s="74" t="s">
        <v>146</v>
      </c>
      <c r="L166" s="74" t="s">
        <v>146</v>
      </c>
      <c r="M166" s="74" t="s">
        <v>146</v>
      </c>
    </row>
    <row r="167" spans="1:13" s="17" customFormat="1" ht="15" customHeight="1" x14ac:dyDescent="0.25">
      <c r="A167" s="74" t="s">
        <v>430</v>
      </c>
      <c r="B167" s="74" t="s">
        <v>17</v>
      </c>
      <c r="C167" s="75">
        <v>8815430</v>
      </c>
      <c r="D167" s="76">
        <v>44064</v>
      </c>
      <c r="E167" s="76">
        <v>44068</v>
      </c>
      <c r="F167" s="74" t="s">
        <v>132</v>
      </c>
      <c r="G167" s="75">
        <v>39.805900000000001</v>
      </c>
      <c r="H167" s="75">
        <v>1500000</v>
      </c>
      <c r="I167" s="75">
        <v>0</v>
      </c>
      <c r="J167" s="74" t="s">
        <v>145</v>
      </c>
      <c r="K167" s="74" t="s">
        <v>132</v>
      </c>
      <c r="L167" s="74" t="s">
        <v>169</v>
      </c>
      <c r="M167" s="74" t="s">
        <v>146</v>
      </c>
    </row>
    <row r="168" spans="1:13" s="17" customFormat="1" ht="15" customHeight="1" x14ac:dyDescent="0.25">
      <c r="A168" s="74" t="s">
        <v>431</v>
      </c>
      <c r="B168" s="74" t="s">
        <v>17</v>
      </c>
      <c r="C168" s="75">
        <v>8815027</v>
      </c>
      <c r="D168" s="76">
        <v>44064</v>
      </c>
      <c r="E168" s="76">
        <v>44067</v>
      </c>
      <c r="F168" s="74" t="s">
        <v>94</v>
      </c>
      <c r="G168" s="75">
        <v>1.3191999999999999</v>
      </c>
      <c r="H168" s="75">
        <v>30321.41</v>
      </c>
      <c r="I168" s="75">
        <v>0</v>
      </c>
      <c r="J168" s="74" t="s">
        <v>145</v>
      </c>
      <c r="K168" s="74" t="s">
        <v>146</v>
      </c>
      <c r="L168" s="74" t="s">
        <v>146</v>
      </c>
      <c r="M168" s="74" t="s">
        <v>146</v>
      </c>
    </row>
    <row r="169" spans="1:13" s="17" customFormat="1" ht="15" customHeight="1" x14ac:dyDescent="0.25">
      <c r="A169" s="74" t="s">
        <v>432</v>
      </c>
      <c r="B169" s="74" t="s">
        <v>17</v>
      </c>
      <c r="C169" s="75">
        <v>8816317</v>
      </c>
      <c r="D169" s="76">
        <v>44064</v>
      </c>
      <c r="E169" s="76">
        <v>44068</v>
      </c>
      <c r="F169" s="74" t="s">
        <v>94</v>
      </c>
      <c r="G169" s="75">
        <v>1.1760299999999999</v>
      </c>
      <c r="H169" s="75">
        <v>-79970.039999999994</v>
      </c>
      <c r="I169" s="75">
        <v>0</v>
      </c>
      <c r="J169" s="74" t="s">
        <v>145</v>
      </c>
      <c r="K169" s="74" t="s">
        <v>146</v>
      </c>
      <c r="L169" s="74" t="s">
        <v>146</v>
      </c>
      <c r="M169" s="74" t="s">
        <v>146</v>
      </c>
    </row>
    <row r="170" spans="1:13" s="17" customFormat="1" ht="15" customHeight="1" x14ac:dyDescent="0.25">
      <c r="A170" s="74" t="s">
        <v>433</v>
      </c>
      <c r="B170" s="74" t="s">
        <v>17</v>
      </c>
      <c r="C170" s="75">
        <v>8815243</v>
      </c>
      <c r="D170" s="76">
        <v>44064</v>
      </c>
      <c r="E170" s="76">
        <v>44082</v>
      </c>
      <c r="F170" s="74" t="s">
        <v>118</v>
      </c>
      <c r="G170" s="75">
        <v>39.795000000000002</v>
      </c>
      <c r="H170" s="75">
        <v>154721.03</v>
      </c>
      <c r="I170" s="75">
        <v>0</v>
      </c>
      <c r="J170" s="74" t="s">
        <v>145</v>
      </c>
      <c r="K170" s="74" t="s">
        <v>118</v>
      </c>
      <c r="L170" s="74" t="s">
        <v>155</v>
      </c>
      <c r="M170" s="74" t="s">
        <v>146</v>
      </c>
    </row>
    <row r="171" spans="1:13" s="17" customFormat="1" ht="15" customHeight="1" x14ac:dyDescent="0.25">
      <c r="A171" s="74" t="s">
        <v>297</v>
      </c>
      <c r="B171" s="74" t="s">
        <v>17</v>
      </c>
      <c r="C171" s="75">
        <v>8802818</v>
      </c>
      <c r="D171" s="76">
        <v>44062</v>
      </c>
      <c r="E171" s="76">
        <v>44069</v>
      </c>
      <c r="F171" s="74" t="s">
        <v>96</v>
      </c>
      <c r="G171" s="75">
        <v>39.700699999999998</v>
      </c>
      <c r="H171" s="75">
        <v>1259423.6399999999</v>
      </c>
      <c r="I171" s="75">
        <v>0</v>
      </c>
      <c r="J171" s="74" t="s">
        <v>145</v>
      </c>
      <c r="K171" s="74" t="s">
        <v>146</v>
      </c>
      <c r="L171" s="74" t="s">
        <v>146</v>
      </c>
      <c r="M171" s="74" t="s">
        <v>146</v>
      </c>
    </row>
    <row r="172" spans="1:13" s="17" customFormat="1" ht="15" customHeight="1" x14ac:dyDescent="0.25">
      <c r="A172" s="74" t="s">
        <v>280</v>
      </c>
      <c r="B172" s="74" t="s">
        <v>17</v>
      </c>
      <c r="C172" s="75">
        <v>8797463</v>
      </c>
      <c r="D172" s="76">
        <v>44061</v>
      </c>
      <c r="E172" s="76">
        <v>44085</v>
      </c>
      <c r="F172" s="74" t="s">
        <v>88</v>
      </c>
      <c r="G172" s="75">
        <v>1.1892</v>
      </c>
      <c r="H172" s="75">
        <v>594600</v>
      </c>
      <c r="I172" s="75">
        <v>0</v>
      </c>
      <c r="J172" s="74" t="s">
        <v>145</v>
      </c>
      <c r="K172" s="74" t="s">
        <v>88</v>
      </c>
      <c r="L172" s="74" t="s">
        <v>159</v>
      </c>
      <c r="M172" s="74" t="s">
        <v>146</v>
      </c>
    </row>
    <row r="173" spans="1:13" s="17" customFormat="1" ht="15" customHeight="1" x14ac:dyDescent="0.25">
      <c r="A173" s="74" t="s">
        <v>281</v>
      </c>
      <c r="B173" s="74" t="s">
        <v>17</v>
      </c>
      <c r="C173" s="75">
        <v>8800465</v>
      </c>
      <c r="D173" s="76">
        <v>44061</v>
      </c>
      <c r="E173" s="76">
        <v>44068</v>
      </c>
      <c r="F173" s="74" t="s">
        <v>96</v>
      </c>
      <c r="G173" s="75">
        <v>1.1943900000000001</v>
      </c>
      <c r="H173" s="75">
        <v>-27470993</v>
      </c>
      <c r="I173" s="75">
        <v>0</v>
      </c>
      <c r="J173" s="74" t="s">
        <v>145</v>
      </c>
      <c r="K173" s="74" t="s">
        <v>146</v>
      </c>
      <c r="L173" s="74" t="s">
        <v>146</v>
      </c>
      <c r="M173" s="74" t="s">
        <v>146</v>
      </c>
    </row>
    <row r="174" spans="1:13" s="17" customFormat="1" ht="15" customHeight="1" x14ac:dyDescent="0.25">
      <c r="A174" s="74" t="s">
        <v>282</v>
      </c>
      <c r="B174" s="74" t="s">
        <v>17</v>
      </c>
      <c r="C174" s="75">
        <v>8797817</v>
      </c>
      <c r="D174" s="76">
        <v>44061</v>
      </c>
      <c r="E174" s="76">
        <v>44266</v>
      </c>
      <c r="F174" s="74" t="s">
        <v>104</v>
      </c>
      <c r="G174" s="75">
        <v>39.799999999999997</v>
      </c>
      <c r="H174" s="75">
        <v>720000</v>
      </c>
      <c r="I174" s="75">
        <v>0</v>
      </c>
      <c r="J174" s="74" t="s">
        <v>145</v>
      </c>
      <c r="K174" s="74" t="s">
        <v>104</v>
      </c>
      <c r="L174" s="74" t="s">
        <v>195</v>
      </c>
      <c r="M174" s="74" t="s">
        <v>146</v>
      </c>
    </row>
    <row r="175" spans="1:13" s="17" customFormat="1" ht="15" customHeight="1" x14ac:dyDescent="0.25">
      <c r="A175" s="74" t="s">
        <v>339</v>
      </c>
      <c r="B175" s="74" t="s">
        <v>17</v>
      </c>
      <c r="C175" s="75">
        <v>8811830</v>
      </c>
      <c r="D175" s="76">
        <v>44063</v>
      </c>
      <c r="E175" s="76">
        <v>44067</v>
      </c>
      <c r="F175" s="74" t="s">
        <v>94</v>
      </c>
      <c r="G175" s="75">
        <v>17.324639999999999</v>
      </c>
      <c r="H175" s="75">
        <v>4617.7</v>
      </c>
      <c r="I175" s="75">
        <v>0</v>
      </c>
      <c r="J175" s="74" t="s">
        <v>145</v>
      </c>
      <c r="K175" s="74" t="s">
        <v>146</v>
      </c>
      <c r="L175" s="74" t="s">
        <v>146</v>
      </c>
      <c r="M175" s="74" t="s">
        <v>146</v>
      </c>
    </row>
    <row r="176" spans="1:13" s="17" customFormat="1" ht="15" customHeight="1" x14ac:dyDescent="0.25">
      <c r="A176" s="74" t="s">
        <v>284</v>
      </c>
      <c r="B176" s="74" t="s">
        <v>17</v>
      </c>
      <c r="C176" s="75">
        <v>8792768</v>
      </c>
      <c r="D176" s="76">
        <v>44060</v>
      </c>
      <c r="E176" s="76">
        <v>44208</v>
      </c>
      <c r="F176" s="74" t="s">
        <v>104</v>
      </c>
      <c r="G176" s="75">
        <v>39.799999999999997</v>
      </c>
      <c r="H176" s="75">
        <v>720000</v>
      </c>
      <c r="I176" s="75">
        <v>0</v>
      </c>
      <c r="J176" s="74" t="s">
        <v>145</v>
      </c>
      <c r="K176" s="74" t="s">
        <v>104</v>
      </c>
      <c r="L176" s="74" t="s">
        <v>195</v>
      </c>
      <c r="M176" s="74" t="s">
        <v>146</v>
      </c>
    </row>
    <row r="177" spans="1:13" s="17" customFormat="1" ht="15" customHeight="1" x14ac:dyDescent="0.25">
      <c r="A177" s="74" t="s">
        <v>259</v>
      </c>
      <c r="B177" s="74" t="s">
        <v>17</v>
      </c>
      <c r="C177" s="75">
        <v>8811747</v>
      </c>
      <c r="D177" s="76">
        <v>44063</v>
      </c>
      <c r="E177" s="76">
        <v>44067</v>
      </c>
      <c r="F177" s="74" t="s">
        <v>133</v>
      </c>
      <c r="G177" s="75">
        <v>17.275829999999999</v>
      </c>
      <c r="H177" s="75">
        <v>-1000000</v>
      </c>
      <c r="I177" s="75">
        <v>0</v>
      </c>
      <c r="J177" s="74" t="s">
        <v>145</v>
      </c>
      <c r="K177" s="74" t="s">
        <v>146</v>
      </c>
      <c r="L177" s="74" t="s">
        <v>146</v>
      </c>
      <c r="M177" s="74" t="s">
        <v>146</v>
      </c>
    </row>
    <row r="178" spans="1:13" s="17" customFormat="1" ht="15" customHeight="1" x14ac:dyDescent="0.25">
      <c r="A178" s="74" t="s">
        <v>285</v>
      </c>
      <c r="B178" s="74" t="s">
        <v>17</v>
      </c>
      <c r="C178" s="75">
        <v>8794298</v>
      </c>
      <c r="D178" s="76">
        <v>44060</v>
      </c>
      <c r="E178" s="76">
        <v>44279</v>
      </c>
      <c r="F178" s="74" t="s">
        <v>140</v>
      </c>
      <c r="G178" s="75">
        <v>40.1</v>
      </c>
      <c r="H178" s="75">
        <v>608279</v>
      </c>
      <c r="I178" s="75">
        <v>0</v>
      </c>
      <c r="J178" s="74" t="s">
        <v>145</v>
      </c>
      <c r="K178" s="74" t="s">
        <v>140</v>
      </c>
      <c r="L178" s="74" t="s">
        <v>151</v>
      </c>
      <c r="M178" s="74" t="s">
        <v>146</v>
      </c>
    </row>
    <row r="179" spans="1:13" s="17" customFormat="1" ht="15" customHeight="1" x14ac:dyDescent="0.25">
      <c r="A179" s="74" t="s">
        <v>294</v>
      </c>
      <c r="B179" s="74" t="s">
        <v>17</v>
      </c>
      <c r="C179" s="75">
        <v>8794326</v>
      </c>
      <c r="D179" s="76">
        <v>44060</v>
      </c>
      <c r="E179" s="76">
        <v>44238</v>
      </c>
      <c r="F179" s="74" t="s">
        <v>104</v>
      </c>
      <c r="G179" s="75">
        <v>39.799999999999997</v>
      </c>
      <c r="H179" s="75">
        <v>720000</v>
      </c>
      <c r="I179" s="75">
        <v>0</v>
      </c>
      <c r="J179" s="74" t="s">
        <v>145</v>
      </c>
      <c r="K179" s="74" t="s">
        <v>104</v>
      </c>
      <c r="L179" s="74" t="s">
        <v>195</v>
      </c>
      <c r="M179" s="74" t="s">
        <v>146</v>
      </c>
    </row>
    <row r="180" spans="1:13" s="17" customFormat="1" ht="15" customHeight="1" x14ac:dyDescent="0.25">
      <c r="A180" s="74" t="s">
        <v>286</v>
      </c>
      <c r="B180" s="74" t="s">
        <v>17</v>
      </c>
      <c r="C180" s="75">
        <v>8795108</v>
      </c>
      <c r="D180" s="76">
        <v>44060</v>
      </c>
      <c r="E180" s="76">
        <v>44067</v>
      </c>
      <c r="F180" s="74" t="s">
        <v>96</v>
      </c>
      <c r="G180" s="75">
        <v>39.700699999999998</v>
      </c>
      <c r="H180" s="75">
        <v>1511308.36</v>
      </c>
      <c r="I180" s="75">
        <v>0</v>
      </c>
      <c r="J180" s="74" t="s">
        <v>145</v>
      </c>
      <c r="K180" s="74" t="s">
        <v>146</v>
      </c>
      <c r="L180" s="74" t="s">
        <v>146</v>
      </c>
      <c r="M180" s="74" t="s">
        <v>146</v>
      </c>
    </row>
    <row r="181" spans="1:13" s="17" customFormat="1" ht="15" customHeight="1" x14ac:dyDescent="0.25">
      <c r="A181" s="74" t="s">
        <v>288</v>
      </c>
      <c r="B181" s="74" t="s">
        <v>17</v>
      </c>
      <c r="C181" s="75">
        <v>8789968</v>
      </c>
      <c r="D181" s="76">
        <v>44057</v>
      </c>
      <c r="E181" s="76">
        <v>44067</v>
      </c>
      <c r="F181" s="74" t="s">
        <v>96</v>
      </c>
      <c r="G181" s="75">
        <v>3.67279</v>
      </c>
      <c r="H181" s="75">
        <v>-272272.43</v>
      </c>
      <c r="I181" s="75">
        <v>0</v>
      </c>
      <c r="J181" s="74" t="s">
        <v>145</v>
      </c>
      <c r="K181" s="74" t="s">
        <v>146</v>
      </c>
      <c r="L181" s="74" t="s">
        <v>146</v>
      </c>
      <c r="M181" s="74" t="s">
        <v>146</v>
      </c>
    </row>
    <row r="182" spans="1:13" s="17" customFormat="1" ht="15" customHeight="1" x14ac:dyDescent="0.25">
      <c r="A182" s="74" t="s">
        <v>306</v>
      </c>
      <c r="B182" s="74" t="s">
        <v>17</v>
      </c>
      <c r="C182" s="75">
        <v>8487498</v>
      </c>
      <c r="D182" s="76">
        <v>43986</v>
      </c>
      <c r="E182" s="76">
        <v>44116</v>
      </c>
      <c r="F182" s="74" t="s">
        <v>116</v>
      </c>
      <c r="G182" s="75">
        <v>39.700000000000003</v>
      </c>
      <c r="H182" s="75">
        <v>-400000</v>
      </c>
      <c r="I182" s="75">
        <v>0</v>
      </c>
      <c r="J182" s="74" t="s">
        <v>145</v>
      </c>
      <c r="K182" s="74" t="s">
        <v>146</v>
      </c>
      <c r="L182" s="74" t="s">
        <v>146</v>
      </c>
      <c r="M182" s="74" t="s">
        <v>146</v>
      </c>
    </row>
    <row r="183" spans="1:13" s="17" customFormat="1" ht="15" customHeight="1" x14ac:dyDescent="0.25">
      <c r="A183" s="74" t="s">
        <v>290</v>
      </c>
      <c r="B183" s="74" t="s">
        <v>17</v>
      </c>
      <c r="C183" s="75">
        <v>8764330</v>
      </c>
      <c r="D183" s="76">
        <v>44054</v>
      </c>
      <c r="E183" s="76">
        <v>44085</v>
      </c>
      <c r="F183" s="74" t="s">
        <v>135</v>
      </c>
      <c r="G183" s="75">
        <v>39.979999999999997</v>
      </c>
      <c r="H183" s="75">
        <v>200000</v>
      </c>
      <c r="I183" s="75">
        <v>0</v>
      </c>
      <c r="J183" s="74" t="s">
        <v>145</v>
      </c>
      <c r="K183" s="74" t="s">
        <v>135</v>
      </c>
      <c r="L183" s="74" t="s">
        <v>155</v>
      </c>
      <c r="M183" s="74" t="s">
        <v>146</v>
      </c>
    </row>
    <row r="184" spans="1:13" s="17" customFormat="1" ht="15" customHeight="1" x14ac:dyDescent="0.25">
      <c r="A184" s="74" t="s">
        <v>249</v>
      </c>
      <c r="B184" s="74" t="s">
        <v>17</v>
      </c>
      <c r="C184" s="75">
        <v>7906309</v>
      </c>
      <c r="D184" s="76">
        <v>43850</v>
      </c>
      <c r="E184" s="76">
        <v>44174</v>
      </c>
      <c r="F184" s="74" t="s">
        <v>104</v>
      </c>
      <c r="G184" s="75">
        <v>36.83</v>
      </c>
      <c r="H184" s="75">
        <v>400000</v>
      </c>
      <c r="I184" s="75">
        <v>0</v>
      </c>
      <c r="J184" s="74" t="s">
        <v>145</v>
      </c>
      <c r="K184" s="74" t="s">
        <v>104</v>
      </c>
      <c r="L184" s="74" t="s">
        <v>195</v>
      </c>
      <c r="M184" s="74" t="s">
        <v>146</v>
      </c>
    </row>
    <row r="185" spans="1:13" s="17" customFormat="1" ht="15" customHeight="1" x14ac:dyDescent="0.25">
      <c r="A185" s="74" t="s">
        <v>292</v>
      </c>
      <c r="B185" s="74" t="s">
        <v>17</v>
      </c>
      <c r="C185" s="75">
        <v>8765475</v>
      </c>
      <c r="D185" s="76">
        <v>44054</v>
      </c>
      <c r="E185" s="76">
        <v>44076</v>
      </c>
      <c r="F185" s="74" t="s">
        <v>138</v>
      </c>
      <c r="G185" s="75">
        <v>39.94</v>
      </c>
      <c r="H185" s="75">
        <v>500000</v>
      </c>
      <c r="I185" s="75">
        <v>0</v>
      </c>
      <c r="J185" s="74" t="s">
        <v>145</v>
      </c>
      <c r="K185" s="74" t="s">
        <v>138</v>
      </c>
      <c r="L185" s="74" t="s">
        <v>169</v>
      </c>
      <c r="M185" s="74" t="s">
        <v>146</v>
      </c>
    </row>
    <row r="186" spans="1:13" s="17" customFormat="1" ht="15" customHeight="1" x14ac:dyDescent="0.25">
      <c r="A186" s="74" t="s">
        <v>293</v>
      </c>
      <c r="B186" s="74" t="s">
        <v>17</v>
      </c>
      <c r="C186" s="75">
        <v>8766816</v>
      </c>
      <c r="D186" s="76">
        <v>44054</v>
      </c>
      <c r="E186" s="76">
        <v>44069</v>
      </c>
      <c r="F186" s="74" t="s">
        <v>94</v>
      </c>
      <c r="G186" s="75">
        <v>7.7505300000000004</v>
      </c>
      <c r="H186" s="75">
        <v>-129023.42</v>
      </c>
      <c r="I186" s="75">
        <v>0</v>
      </c>
      <c r="J186" s="74" t="s">
        <v>145</v>
      </c>
      <c r="K186" s="74" t="s">
        <v>146</v>
      </c>
      <c r="L186" s="74" t="s">
        <v>146</v>
      </c>
      <c r="M186" s="74" t="s">
        <v>146</v>
      </c>
    </row>
    <row r="187" spans="1:13" s="17" customFormat="1" ht="15" customHeight="1" x14ac:dyDescent="0.25">
      <c r="A187" s="74" t="s">
        <v>283</v>
      </c>
      <c r="B187" s="74" t="s">
        <v>17</v>
      </c>
      <c r="C187" s="75">
        <v>8799642</v>
      </c>
      <c r="D187" s="76">
        <v>44061</v>
      </c>
      <c r="E187" s="76">
        <v>44077</v>
      </c>
      <c r="F187" s="74" t="s">
        <v>137</v>
      </c>
      <c r="G187" s="75">
        <v>39.817399999999999</v>
      </c>
      <c r="H187" s="75">
        <v>556574</v>
      </c>
      <c r="I187" s="75">
        <v>0</v>
      </c>
      <c r="J187" s="74" t="s">
        <v>145</v>
      </c>
      <c r="K187" s="74" t="s">
        <v>137</v>
      </c>
      <c r="L187" s="74" t="s">
        <v>159</v>
      </c>
      <c r="M187" s="74" t="s">
        <v>146</v>
      </c>
    </row>
    <row r="188" spans="1:13" s="17" customFormat="1" ht="15" customHeight="1" x14ac:dyDescent="0.25">
      <c r="A188" s="74" t="s">
        <v>272</v>
      </c>
      <c r="B188" s="74" t="s">
        <v>17</v>
      </c>
      <c r="C188" s="75">
        <v>8809582</v>
      </c>
      <c r="D188" s="76">
        <v>44063</v>
      </c>
      <c r="E188" s="76">
        <v>44067</v>
      </c>
      <c r="F188" s="74" t="s">
        <v>118</v>
      </c>
      <c r="G188" s="75">
        <v>39.804400000000001</v>
      </c>
      <c r="H188" s="75">
        <v>900000</v>
      </c>
      <c r="I188" s="75">
        <v>0</v>
      </c>
      <c r="J188" s="74" t="s">
        <v>145</v>
      </c>
      <c r="K188" s="74" t="s">
        <v>118</v>
      </c>
      <c r="L188" s="74" t="s">
        <v>155</v>
      </c>
      <c r="M188" s="74" t="s">
        <v>146</v>
      </c>
    </row>
    <row r="189" spans="1:13" s="17" customFormat="1" ht="15" customHeight="1" x14ac:dyDescent="0.25">
      <c r="A189" s="74" t="s">
        <v>278</v>
      </c>
      <c r="B189" s="74" t="s">
        <v>17</v>
      </c>
      <c r="C189" s="75">
        <v>8808961</v>
      </c>
      <c r="D189" s="76">
        <v>44063</v>
      </c>
      <c r="E189" s="76">
        <v>44067</v>
      </c>
      <c r="F189" s="74" t="s">
        <v>94</v>
      </c>
      <c r="G189" s="75">
        <v>1.1853</v>
      </c>
      <c r="H189" s="75">
        <v>237060</v>
      </c>
      <c r="I189" s="75">
        <v>0</v>
      </c>
      <c r="J189" s="74" t="s">
        <v>145</v>
      </c>
      <c r="K189" s="74" t="s">
        <v>146</v>
      </c>
      <c r="L189" s="74" t="s">
        <v>146</v>
      </c>
      <c r="M189" s="74" t="s">
        <v>146</v>
      </c>
    </row>
    <row r="190" spans="1:13" s="17" customFormat="1" ht="15" customHeight="1" x14ac:dyDescent="0.25">
      <c r="A190" s="74" t="s">
        <v>261</v>
      </c>
      <c r="B190" s="74" t="s">
        <v>17</v>
      </c>
      <c r="C190" s="75">
        <v>8809067</v>
      </c>
      <c r="D190" s="76">
        <v>44063</v>
      </c>
      <c r="E190" s="76">
        <v>44067</v>
      </c>
      <c r="F190" s="74" t="s">
        <v>94</v>
      </c>
      <c r="G190" s="75">
        <v>1.1823999999999999</v>
      </c>
      <c r="H190" s="75">
        <v>-236480</v>
      </c>
      <c r="I190" s="75">
        <v>0</v>
      </c>
      <c r="J190" s="74" t="s">
        <v>145</v>
      </c>
      <c r="K190" s="74" t="s">
        <v>146</v>
      </c>
      <c r="L190" s="74" t="s">
        <v>146</v>
      </c>
      <c r="M190" s="74" t="s">
        <v>146</v>
      </c>
    </row>
    <row r="191" spans="1:13" s="17" customFormat="1" ht="15" customHeight="1" x14ac:dyDescent="0.25">
      <c r="A191" s="74" t="s">
        <v>270</v>
      </c>
      <c r="B191" s="74" t="s">
        <v>17</v>
      </c>
      <c r="C191" s="75">
        <v>8809097</v>
      </c>
      <c r="D191" s="76">
        <v>44063</v>
      </c>
      <c r="E191" s="76">
        <v>44067</v>
      </c>
      <c r="F191" s="74" t="s">
        <v>133</v>
      </c>
      <c r="G191" s="75">
        <v>1.1826000000000001</v>
      </c>
      <c r="H191" s="75">
        <v>473040</v>
      </c>
      <c r="I191" s="75">
        <v>0</v>
      </c>
      <c r="J191" s="74" t="s">
        <v>145</v>
      </c>
      <c r="K191" s="74" t="s">
        <v>146</v>
      </c>
      <c r="L191" s="74" t="s">
        <v>146</v>
      </c>
      <c r="M191" s="74" t="s">
        <v>146</v>
      </c>
    </row>
    <row r="192" spans="1:13" s="17" customFormat="1" ht="15" customHeight="1" x14ac:dyDescent="0.25">
      <c r="A192" s="74" t="s">
        <v>273</v>
      </c>
      <c r="B192" s="74" t="s">
        <v>17</v>
      </c>
      <c r="C192" s="75">
        <v>8809098</v>
      </c>
      <c r="D192" s="76">
        <v>44063</v>
      </c>
      <c r="E192" s="76">
        <v>44067</v>
      </c>
      <c r="F192" s="74" t="s">
        <v>130</v>
      </c>
      <c r="G192" s="75">
        <v>1.1855</v>
      </c>
      <c r="H192" s="75">
        <v>-2371000</v>
      </c>
      <c r="I192" s="75">
        <v>0</v>
      </c>
      <c r="J192" s="74" t="s">
        <v>145</v>
      </c>
      <c r="K192" s="74" t="s">
        <v>146</v>
      </c>
      <c r="L192" s="74" t="s">
        <v>146</v>
      </c>
      <c r="M192" s="74" t="s">
        <v>146</v>
      </c>
    </row>
    <row r="193" spans="1:13" s="17" customFormat="1" ht="15" customHeight="1" x14ac:dyDescent="0.25">
      <c r="A193" s="74" t="s">
        <v>269</v>
      </c>
      <c r="B193" s="74" t="s">
        <v>17</v>
      </c>
      <c r="C193" s="75">
        <v>8809103</v>
      </c>
      <c r="D193" s="76">
        <v>44063</v>
      </c>
      <c r="E193" s="76">
        <v>44067</v>
      </c>
      <c r="F193" s="74" t="s">
        <v>94</v>
      </c>
      <c r="G193" s="75">
        <v>1.3074699999999999</v>
      </c>
      <c r="H193" s="75">
        <v>45761.45</v>
      </c>
      <c r="I193" s="75">
        <v>0</v>
      </c>
      <c r="J193" s="74" t="s">
        <v>145</v>
      </c>
      <c r="K193" s="74" t="s">
        <v>146</v>
      </c>
      <c r="L193" s="74" t="s">
        <v>146</v>
      </c>
      <c r="M193" s="74" t="s">
        <v>146</v>
      </c>
    </row>
    <row r="194" spans="1:13" s="17" customFormat="1" ht="15" customHeight="1" x14ac:dyDescent="0.25">
      <c r="A194" s="74" t="s">
        <v>268</v>
      </c>
      <c r="B194" s="74" t="s">
        <v>17</v>
      </c>
      <c r="C194" s="75">
        <v>8809168</v>
      </c>
      <c r="D194" s="76">
        <v>44063</v>
      </c>
      <c r="E194" s="76">
        <v>44067</v>
      </c>
      <c r="F194" s="74" t="s">
        <v>94</v>
      </c>
      <c r="G194" s="75">
        <v>1.1816899999999999</v>
      </c>
      <c r="H194" s="75">
        <v>108715.48</v>
      </c>
      <c r="I194" s="75">
        <v>0</v>
      </c>
      <c r="J194" s="74" t="s">
        <v>145</v>
      </c>
      <c r="K194" s="74" t="s">
        <v>146</v>
      </c>
      <c r="L194" s="74" t="s">
        <v>146</v>
      </c>
      <c r="M194" s="74" t="s">
        <v>146</v>
      </c>
    </row>
    <row r="195" spans="1:13" s="17" customFormat="1" ht="15" customHeight="1" x14ac:dyDescent="0.25">
      <c r="A195" s="74" t="s">
        <v>252</v>
      </c>
      <c r="B195" s="74" t="s">
        <v>17</v>
      </c>
      <c r="C195" s="75">
        <v>8809220</v>
      </c>
      <c r="D195" s="76">
        <v>44063</v>
      </c>
      <c r="E195" s="76">
        <v>44067</v>
      </c>
      <c r="F195" s="74" t="s">
        <v>130</v>
      </c>
      <c r="G195" s="75">
        <v>1.18269</v>
      </c>
      <c r="H195" s="75">
        <v>2365380</v>
      </c>
      <c r="I195" s="75">
        <v>0</v>
      </c>
      <c r="J195" s="74" t="s">
        <v>145</v>
      </c>
      <c r="K195" s="74" t="s">
        <v>146</v>
      </c>
      <c r="L195" s="74" t="s">
        <v>146</v>
      </c>
      <c r="M195" s="74" t="s">
        <v>146</v>
      </c>
    </row>
    <row r="196" spans="1:13" s="17" customFormat="1" ht="15" customHeight="1" x14ac:dyDescent="0.25">
      <c r="A196" s="74" t="s">
        <v>271</v>
      </c>
      <c r="B196" s="74" t="s">
        <v>17</v>
      </c>
      <c r="C196" s="75">
        <v>8811111</v>
      </c>
      <c r="D196" s="76">
        <v>44063</v>
      </c>
      <c r="E196" s="76">
        <v>44067</v>
      </c>
      <c r="F196" s="74" t="s">
        <v>94</v>
      </c>
      <c r="G196" s="75">
        <v>0.71608000000000005</v>
      </c>
      <c r="H196" s="75">
        <v>1432.16</v>
      </c>
      <c r="I196" s="75">
        <v>0</v>
      </c>
      <c r="J196" s="74" t="s">
        <v>145</v>
      </c>
      <c r="K196" s="74" t="s">
        <v>146</v>
      </c>
      <c r="L196" s="74" t="s">
        <v>146</v>
      </c>
      <c r="M196" s="74" t="s">
        <v>146</v>
      </c>
    </row>
    <row r="197" spans="1:13" s="17" customFormat="1" ht="15" customHeight="1" x14ac:dyDescent="0.25">
      <c r="A197" s="74" t="s">
        <v>266</v>
      </c>
      <c r="B197" s="74" t="s">
        <v>17</v>
      </c>
      <c r="C197" s="75">
        <v>8811128</v>
      </c>
      <c r="D197" s="76">
        <v>44063</v>
      </c>
      <c r="E197" s="76">
        <v>44067</v>
      </c>
      <c r="F197" s="74" t="s">
        <v>94</v>
      </c>
      <c r="G197" s="75">
        <v>1.18483</v>
      </c>
      <c r="H197" s="75">
        <v>-82938.100000000006</v>
      </c>
      <c r="I197" s="75">
        <v>0</v>
      </c>
      <c r="J197" s="74" t="s">
        <v>145</v>
      </c>
      <c r="K197" s="74" t="s">
        <v>146</v>
      </c>
      <c r="L197" s="74" t="s">
        <v>146</v>
      </c>
      <c r="M197" s="74" t="s">
        <v>146</v>
      </c>
    </row>
    <row r="198" spans="1:13" s="17" customFormat="1" ht="15" customHeight="1" x14ac:dyDescent="0.25">
      <c r="A198" s="74" t="s">
        <v>265</v>
      </c>
      <c r="B198" s="74" t="s">
        <v>17</v>
      </c>
      <c r="C198" s="75">
        <v>8811132</v>
      </c>
      <c r="D198" s="76">
        <v>44063</v>
      </c>
      <c r="E198" s="76">
        <v>44067</v>
      </c>
      <c r="F198" s="74" t="s">
        <v>94</v>
      </c>
      <c r="G198" s="75">
        <v>1.31436</v>
      </c>
      <c r="H198" s="75">
        <v>13143.6</v>
      </c>
      <c r="I198" s="75">
        <v>0</v>
      </c>
      <c r="J198" s="74" t="s">
        <v>145</v>
      </c>
      <c r="K198" s="74" t="s">
        <v>146</v>
      </c>
      <c r="L198" s="74" t="s">
        <v>146</v>
      </c>
      <c r="M198" s="74" t="s">
        <v>146</v>
      </c>
    </row>
    <row r="199" spans="1:13" s="17" customFormat="1" ht="15" customHeight="1" x14ac:dyDescent="0.25">
      <c r="A199" s="74" t="s">
        <v>264</v>
      </c>
      <c r="B199" s="74" t="s">
        <v>17</v>
      </c>
      <c r="C199" s="75">
        <v>8811286</v>
      </c>
      <c r="D199" s="76">
        <v>44063</v>
      </c>
      <c r="E199" s="76">
        <v>44067</v>
      </c>
      <c r="F199" s="74" t="s">
        <v>94</v>
      </c>
      <c r="G199" s="75">
        <v>0.71596000000000004</v>
      </c>
      <c r="H199" s="75">
        <v>4295.76</v>
      </c>
      <c r="I199" s="75">
        <v>0</v>
      </c>
      <c r="J199" s="74" t="s">
        <v>145</v>
      </c>
      <c r="K199" s="74" t="s">
        <v>146</v>
      </c>
      <c r="L199" s="74" t="s">
        <v>146</v>
      </c>
      <c r="M199" s="74" t="s">
        <v>146</v>
      </c>
    </row>
    <row r="200" spans="1:13" s="17" customFormat="1" ht="15" customHeight="1" x14ac:dyDescent="0.25">
      <c r="A200" s="74" t="s">
        <v>262</v>
      </c>
      <c r="B200" s="74" t="s">
        <v>17</v>
      </c>
      <c r="C200" s="75">
        <v>8811762</v>
      </c>
      <c r="D200" s="76">
        <v>44063</v>
      </c>
      <c r="E200" s="76">
        <v>44067</v>
      </c>
      <c r="F200" s="74" t="s">
        <v>133</v>
      </c>
      <c r="G200" s="75">
        <v>1.1855</v>
      </c>
      <c r="H200" s="75">
        <v>2371000</v>
      </c>
      <c r="I200" s="75">
        <v>0</v>
      </c>
      <c r="J200" s="74" t="s">
        <v>145</v>
      </c>
      <c r="K200" s="74" t="s">
        <v>146</v>
      </c>
      <c r="L200" s="74" t="s">
        <v>146</v>
      </c>
      <c r="M200" s="74" t="s">
        <v>146</v>
      </c>
    </row>
    <row r="201" spans="1:13" s="17" customFormat="1" ht="15" customHeight="1" x14ac:dyDescent="0.25">
      <c r="A201" s="74" t="s">
        <v>295</v>
      </c>
      <c r="B201" s="74" t="s">
        <v>17</v>
      </c>
      <c r="C201" s="75">
        <v>8802001</v>
      </c>
      <c r="D201" s="76">
        <v>44062</v>
      </c>
      <c r="E201" s="76">
        <v>44085</v>
      </c>
      <c r="F201" s="74" t="s">
        <v>88</v>
      </c>
      <c r="G201" s="75">
        <v>1.1940999999999999</v>
      </c>
      <c r="H201" s="75">
        <v>597050</v>
      </c>
      <c r="I201" s="75">
        <v>0</v>
      </c>
      <c r="J201" s="74" t="s">
        <v>145</v>
      </c>
      <c r="K201" s="74" t="s">
        <v>88</v>
      </c>
      <c r="L201" s="74" t="s">
        <v>159</v>
      </c>
      <c r="M201" s="74" t="s">
        <v>146</v>
      </c>
    </row>
    <row r="202" spans="1:13" s="17" customFormat="1" ht="15" customHeight="1" x14ac:dyDescent="0.25">
      <c r="A202" s="74" t="s">
        <v>274</v>
      </c>
      <c r="B202" s="74" t="s">
        <v>17</v>
      </c>
      <c r="C202" s="75">
        <v>8809105</v>
      </c>
      <c r="D202" s="76">
        <v>44063</v>
      </c>
      <c r="E202" s="76">
        <v>44067</v>
      </c>
      <c r="F202" s="74" t="s">
        <v>94</v>
      </c>
      <c r="G202" s="75">
        <v>17.322420000000001</v>
      </c>
      <c r="H202" s="75">
        <v>25400.61</v>
      </c>
      <c r="I202" s="75">
        <v>0</v>
      </c>
      <c r="J202" s="74" t="s">
        <v>145</v>
      </c>
      <c r="K202" s="74" t="s">
        <v>146</v>
      </c>
      <c r="L202" s="74" t="s">
        <v>146</v>
      </c>
      <c r="M202" s="74" t="s">
        <v>146</v>
      </c>
    </row>
    <row r="203" spans="1:13" s="17" customFormat="1" ht="15" customHeight="1" x14ac:dyDescent="0.25">
      <c r="A203" s="74" t="s">
        <v>291</v>
      </c>
      <c r="B203" s="74" t="s">
        <v>17</v>
      </c>
      <c r="C203" s="75">
        <v>8764782</v>
      </c>
      <c r="D203" s="76">
        <v>44054</v>
      </c>
      <c r="E203" s="76">
        <v>44068</v>
      </c>
      <c r="F203" s="74" t="s">
        <v>118</v>
      </c>
      <c r="G203" s="75">
        <v>39.9161</v>
      </c>
      <c r="H203" s="75">
        <v>2350000</v>
      </c>
      <c r="I203" s="75">
        <v>0</v>
      </c>
      <c r="J203" s="74" t="s">
        <v>145</v>
      </c>
      <c r="K203" s="74" t="s">
        <v>118</v>
      </c>
      <c r="L203" s="74" t="s">
        <v>155</v>
      </c>
      <c r="M203" s="74" t="s">
        <v>146</v>
      </c>
    </row>
    <row r="204" spans="1:13" s="17" customFormat="1" ht="15" customHeight="1" x14ac:dyDescent="0.25">
      <c r="A204" s="74" t="s">
        <v>275</v>
      </c>
      <c r="B204" s="74" t="s">
        <v>17</v>
      </c>
      <c r="C204" s="75">
        <v>8810299</v>
      </c>
      <c r="D204" s="76">
        <v>44063</v>
      </c>
      <c r="E204" s="76">
        <v>44067</v>
      </c>
      <c r="F204" s="74" t="s">
        <v>137</v>
      </c>
      <c r="G204" s="75">
        <v>39.799999999999997</v>
      </c>
      <c r="H204" s="75">
        <v>1000000</v>
      </c>
      <c r="I204" s="75">
        <v>0</v>
      </c>
      <c r="J204" s="74" t="s">
        <v>145</v>
      </c>
      <c r="K204" s="74" t="s">
        <v>137</v>
      </c>
      <c r="L204" s="74" t="s">
        <v>159</v>
      </c>
      <c r="M204" s="74" t="s">
        <v>146</v>
      </c>
    </row>
    <row r="205" spans="1:13" s="17" customFormat="1" ht="15" customHeight="1" x14ac:dyDescent="0.25">
      <c r="A205" s="74" t="s">
        <v>276</v>
      </c>
      <c r="B205" s="74" t="s">
        <v>17</v>
      </c>
      <c r="C205" s="75">
        <v>8810460</v>
      </c>
      <c r="D205" s="76">
        <v>44063</v>
      </c>
      <c r="E205" s="76">
        <v>44067</v>
      </c>
      <c r="F205" s="74" t="s">
        <v>136</v>
      </c>
      <c r="G205" s="75">
        <v>39.79</v>
      </c>
      <c r="H205" s="75">
        <v>124800</v>
      </c>
      <c r="I205" s="75">
        <v>0</v>
      </c>
      <c r="J205" s="74" t="s">
        <v>145</v>
      </c>
      <c r="K205" s="74" t="s">
        <v>146</v>
      </c>
      <c r="L205" s="74" t="s">
        <v>146</v>
      </c>
      <c r="M205" s="74" t="s">
        <v>146</v>
      </c>
    </row>
    <row r="206" spans="1:13" s="17" customFormat="1" ht="15" customHeight="1" x14ac:dyDescent="0.25">
      <c r="A206" s="74" t="s">
        <v>277</v>
      </c>
      <c r="B206" s="74" t="s">
        <v>17</v>
      </c>
      <c r="C206" s="75">
        <v>8810477</v>
      </c>
      <c r="D206" s="76">
        <v>44063</v>
      </c>
      <c r="E206" s="76">
        <v>44067</v>
      </c>
      <c r="F206" s="74" t="s">
        <v>136</v>
      </c>
      <c r="G206" s="75">
        <v>39.79</v>
      </c>
      <c r="H206" s="75">
        <v>56876.43</v>
      </c>
      <c r="I206" s="75">
        <v>0</v>
      </c>
      <c r="J206" s="74" t="s">
        <v>145</v>
      </c>
      <c r="K206" s="74" t="s">
        <v>146</v>
      </c>
      <c r="L206" s="74" t="s">
        <v>146</v>
      </c>
      <c r="M206" s="74" t="s">
        <v>146</v>
      </c>
    </row>
    <row r="207" spans="1:13" s="17" customFormat="1" ht="15" customHeight="1" x14ac:dyDescent="0.25">
      <c r="A207" s="74" t="s">
        <v>248</v>
      </c>
      <c r="B207" s="74" t="s">
        <v>17</v>
      </c>
      <c r="C207" s="75">
        <v>8810936</v>
      </c>
      <c r="D207" s="76">
        <v>44063</v>
      </c>
      <c r="E207" s="76">
        <v>44067</v>
      </c>
      <c r="F207" s="74" t="s">
        <v>96</v>
      </c>
      <c r="G207" s="75">
        <v>17.196999999999999</v>
      </c>
      <c r="H207" s="75">
        <v>1000000</v>
      </c>
      <c r="I207" s="75">
        <v>0</v>
      </c>
      <c r="J207" s="74" t="s">
        <v>145</v>
      </c>
      <c r="K207" s="74" t="s">
        <v>146</v>
      </c>
      <c r="L207" s="74" t="s">
        <v>146</v>
      </c>
      <c r="M207" s="74" t="s">
        <v>146</v>
      </c>
    </row>
    <row r="208" spans="1:13" s="17" customFormat="1" ht="15" customHeight="1" x14ac:dyDescent="0.25">
      <c r="A208" s="74" t="s">
        <v>247</v>
      </c>
      <c r="B208" s="74" t="s">
        <v>17</v>
      </c>
      <c r="C208" s="75">
        <v>8810965</v>
      </c>
      <c r="D208" s="76">
        <v>44063</v>
      </c>
      <c r="E208" s="76">
        <v>44067</v>
      </c>
      <c r="F208" s="74" t="s">
        <v>114</v>
      </c>
      <c r="G208" s="75">
        <v>39.79</v>
      </c>
      <c r="H208" s="75">
        <v>37808.9</v>
      </c>
      <c r="I208" s="75">
        <v>0</v>
      </c>
      <c r="J208" s="74" t="s">
        <v>145</v>
      </c>
      <c r="K208" s="74" t="s">
        <v>114</v>
      </c>
      <c r="L208" s="74" t="s">
        <v>195</v>
      </c>
      <c r="M208" s="74" t="s">
        <v>146</v>
      </c>
    </row>
    <row r="209" spans="1:14" s="17" customFormat="1" ht="15" customHeight="1" x14ac:dyDescent="0.25">
      <c r="A209" s="74" t="s">
        <v>260</v>
      </c>
      <c r="B209" s="74" t="s">
        <v>17</v>
      </c>
      <c r="C209" s="75">
        <v>8811119</v>
      </c>
      <c r="D209" s="76">
        <v>44063</v>
      </c>
      <c r="E209" s="76">
        <v>44067</v>
      </c>
      <c r="F209" s="74" t="s">
        <v>94</v>
      </c>
      <c r="G209" s="75">
        <v>8.7421900000000008</v>
      </c>
      <c r="H209" s="75">
        <v>-3431.63</v>
      </c>
      <c r="I209" s="75">
        <v>0</v>
      </c>
      <c r="J209" s="74" t="s">
        <v>145</v>
      </c>
      <c r="K209" s="74" t="s">
        <v>146</v>
      </c>
      <c r="L209" s="74" t="s">
        <v>146</v>
      </c>
      <c r="M209" s="74" t="s">
        <v>146</v>
      </c>
    </row>
    <row r="210" spans="1:14" s="17" customFormat="1" ht="15" customHeight="1" x14ac:dyDescent="0.25">
      <c r="A210" s="74" t="s">
        <v>253</v>
      </c>
      <c r="B210" s="74" t="s">
        <v>17</v>
      </c>
      <c r="C210" s="75">
        <v>8811282</v>
      </c>
      <c r="D210" s="76">
        <v>44063</v>
      </c>
      <c r="E210" s="76">
        <v>44067</v>
      </c>
      <c r="F210" s="74" t="s">
        <v>94</v>
      </c>
      <c r="G210" s="75">
        <v>7.7501499999999997</v>
      </c>
      <c r="H210" s="75">
        <v>1677.39</v>
      </c>
      <c r="I210" s="75">
        <v>0</v>
      </c>
      <c r="J210" s="74" t="s">
        <v>145</v>
      </c>
      <c r="K210" s="74" t="s">
        <v>146</v>
      </c>
      <c r="L210" s="74" t="s">
        <v>146</v>
      </c>
      <c r="M210" s="74" t="s">
        <v>146</v>
      </c>
    </row>
    <row r="211" spans="1:14" s="17" customFormat="1" ht="15" customHeight="1" x14ac:dyDescent="0.25">
      <c r="A211" s="74" t="s">
        <v>263</v>
      </c>
      <c r="B211" s="74" t="s">
        <v>17</v>
      </c>
      <c r="C211" s="75">
        <v>8811764</v>
      </c>
      <c r="D211" s="76">
        <v>44063</v>
      </c>
      <c r="E211" s="76">
        <v>44067</v>
      </c>
      <c r="F211" s="74" t="s">
        <v>133</v>
      </c>
      <c r="G211" s="75">
        <v>1.18269</v>
      </c>
      <c r="H211" s="75">
        <v>-2365380</v>
      </c>
      <c r="I211" s="75">
        <v>0</v>
      </c>
      <c r="J211" s="74" t="s">
        <v>145</v>
      </c>
      <c r="K211" s="74" t="s">
        <v>146</v>
      </c>
      <c r="L211" s="74" t="s">
        <v>146</v>
      </c>
      <c r="M211" s="74" t="s">
        <v>146</v>
      </c>
    </row>
    <row r="212" spans="1:14" s="17" customFormat="1" ht="15" customHeight="1" x14ac:dyDescent="0.25">
      <c r="A212" s="74" t="s">
        <v>319</v>
      </c>
      <c r="B212" s="74" t="s">
        <v>17</v>
      </c>
      <c r="C212" s="75">
        <v>8055715</v>
      </c>
      <c r="D212" s="76">
        <v>43887</v>
      </c>
      <c r="E212" s="76">
        <v>44109</v>
      </c>
      <c r="F212" s="74" t="s">
        <v>103</v>
      </c>
      <c r="G212" s="75">
        <v>37.770000000000003</v>
      </c>
      <c r="H212" s="75">
        <v>500000</v>
      </c>
      <c r="I212" s="75">
        <v>0</v>
      </c>
      <c r="J212" s="74" t="s">
        <v>145</v>
      </c>
      <c r="K212" s="74" t="s">
        <v>146</v>
      </c>
      <c r="L212" s="74" t="s">
        <v>146</v>
      </c>
      <c r="M212" s="74" t="s">
        <v>146</v>
      </c>
    </row>
    <row r="213" spans="1:14" s="17" customFormat="1" ht="15" customHeight="1" x14ac:dyDescent="0.25">
      <c r="A213" s="74" t="s">
        <v>305</v>
      </c>
      <c r="B213" s="74" t="s">
        <v>17</v>
      </c>
      <c r="C213" s="75">
        <v>8487474</v>
      </c>
      <c r="D213" s="76">
        <v>43986</v>
      </c>
      <c r="E213" s="76">
        <v>44084</v>
      </c>
      <c r="F213" s="74" t="s">
        <v>116</v>
      </c>
      <c r="G213" s="75">
        <v>39.75</v>
      </c>
      <c r="H213" s="75">
        <v>-400000</v>
      </c>
      <c r="I213" s="75">
        <v>0</v>
      </c>
      <c r="J213" s="74" t="s">
        <v>145</v>
      </c>
      <c r="K213" s="74" t="s">
        <v>146</v>
      </c>
      <c r="L213" s="74" t="s">
        <v>146</v>
      </c>
      <c r="M213" s="74" t="s">
        <v>146</v>
      </c>
    </row>
    <row r="214" spans="1:14" s="17" customFormat="1" ht="15" customHeight="1" x14ac:dyDescent="0.25">
      <c r="A214" s="74" t="s">
        <v>279</v>
      </c>
      <c r="B214" s="74" t="s">
        <v>17</v>
      </c>
      <c r="C214" s="75">
        <v>8760045</v>
      </c>
      <c r="D214" s="76">
        <v>44053</v>
      </c>
      <c r="E214" s="76">
        <v>44084</v>
      </c>
      <c r="F214" s="74" t="s">
        <v>88</v>
      </c>
      <c r="G214" s="75">
        <v>39.962499999999999</v>
      </c>
      <c r="H214" s="75">
        <v>1000000</v>
      </c>
      <c r="I214" s="75">
        <v>0</v>
      </c>
      <c r="J214" s="74" t="s">
        <v>145</v>
      </c>
      <c r="K214" s="74" t="s">
        <v>88</v>
      </c>
      <c r="L214" s="74" t="s">
        <v>159</v>
      </c>
      <c r="M214" s="74" t="s">
        <v>146</v>
      </c>
    </row>
    <row r="215" spans="1:14" s="17" customFormat="1" ht="15" customHeight="1" x14ac:dyDescent="0.25">
      <c r="A215" s="74" t="s">
        <v>308</v>
      </c>
      <c r="B215" s="74" t="s">
        <v>17</v>
      </c>
      <c r="C215" s="75">
        <v>8429851</v>
      </c>
      <c r="D215" s="76">
        <v>43977</v>
      </c>
      <c r="E215" s="76">
        <v>44068</v>
      </c>
      <c r="F215" s="74" t="s">
        <v>114</v>
      </c>
      <c r="G215" s="75">
        <v>39.997500000000002</v>
      </c>
      <c r="H215" s="75">
        <v>-272000</v>
      </c>
      <c r="I215" s="75">
        <v>0</v>
      </c>
      <c r="J215" s="74" t="s">
        <v>145</v>
      </c>
      <c r="K215" s="74" t="s">
        <v>114</v>
      </c>
      <c r="L215" s="74" t="s">
        <v>195</v>
      </c>
      <c r="M215" s="74" t="s">
        <v>146</v>
      </c>
    </row>
    <row r="216" spans="1:14" s="17" customFormat="1" ht="15" customHeight="1" x14ac:dyDescent="0.25">
      <c r="A216" s="74" t="s">
        <v>296</v>
      </c>
      <c r="B216" s="74" t="s">
        <v>17</v>
      </c>
      <c r="C216" s="75">
        <v>8783658</v>
      </c>
      <c r="D216" s="76">
        <v>44056</v>
      </c>
      <c r="E216" s="76">
        <v>44140</v>
      </c>
      <c r="F216" s="74" t="s">
        <v>139</v>
      </c>
      <c r="G216" s="75">
        <v>39.79</v>
      </c>
      <c r="H216" s="75">
        <v>1000000</v>
      </c>
      <c r="I216" s="75">
        <v>0</v>
      </c>
      <c r="J216" s="74" t="s">
        <v>145</v>
      </c>
      <c r="K216" s="74" t="s">
        <v>139</v>
      </c>
      <c r="L216" s="74" t="s">
        <v>169</v>
      </c>
      <c r="M216" s="74" t="s">
        <v>146</v>
      </c>
    </row>
    <row r="217" spans="1:14" s="17" customFormat="1" ht="15" customHeight="1" x14ac:dyDescent="0.25">
      <c r="A217" s="74" t="s">
        <v>309</v>
      </c>
      <c r="B217" s="74" t="s">
        <v>17</v>
      </c>
      <c r="C217" s="75">
        <v>8430619</v>
      </c>
      <c r="D217" s="76">
        <v>43977</v>
      </c>
      <c r="E217" s="76">
        <v>44068</v>
      </c>
      <c r="F217" s="74" t="s">
        <v>113</v>
      </c>
      <c r="G217" s="75">
        <v>40.099899999999998</v>
      </c>
      <c r="H217" s="75">
        <v>272000</v>
      </c>
      <c r="I217" s="75">
        <v>0</v>
      </c>
      <c r="J217" s="74" t="s">
        <v>145</v>
      </c>
      <c r="K217" s="74" t="s">
        <v>146</v>
      </c>
      <c r="L217" s="74" t="s">
        <v>146</v>
      </c>
      <c r="M217" s="74" t="s">
        <v>146</v>
      </c>
    </row>
    <row r="218" spans="1:14" s="17" customFormat="1" ht="15" customHeight="1" x14ac:dyDescent="0.25">
      <c r="A218" s="74" t="s">
        <v>310</v>
      </c>
      <c r="B218" s="74" t="s">
        <v>17</v>
      </c>
      <c r="C218" s="75">
        <v>8180830</v>
      </c>
      <c r="D218" s="76">
        <v>43909</v>
      </c>
      <c r="E218" s="76">
        <v>44119</v>
      </c>
      <c r="F218" s="74" t="s">
        <v>88</v>
      </c>
      <c r="G218" s="75">
        <v>39.65</v>
      </c>
      <c r="H218" s="75">
        <v>-500000</v>
      </c>
      <c r="I218" s="75">
        <v>0</v>
      </c>
      <c r="J218" s="74" t="s">
        <v>145</v>
      </c>
      <c r="K218" s="74" t="s">
        <v>88</v>
      </c>
      <c r="L218" s="74" t="s">
        <v>159</v>
      </c>
      <c r="M218" s="74" t="s">
        <v>146</v>
      </c>
    </row>
    <row r="219" spans="1:14" s="17" customFormat="1" ht="15" customHeight="1" x14ac:dyDescent="0.25">
      <c r="A219" s="74" t="s">
        <v>326</v>
      </c>
      <c r="B219" s="74" t="s">
        <v>17</v>
      </c>
      <c r="C219" s="75">
        <v>8152444</v>
      </c>
      <c r="D219" s="76">
        <v>43903</v>
      </c>
      <c r="E219" s="76">
        <v>44168</v>
      </c>
      <c r="F219" s="74" t="s">
        <v>102</v>
      </c>
      <c r="G219" s="75">
        <v>38</v>
      </c>
      <c r="H219" s="75">
        <v>-500000</v>
      </c>
      <c r="I219" s="75">
        <v>0</v>
      </c>
      <c r="J219" s="74" t="s">
        <v>145</v>
      </c>
      <c r="K219" s="74" t="s">
        <v>102</v>
      </c>
      <c r="L219" s="74" t="s">
        <v>256</v>
      </c>
      <c r="M219" s="74" t="s">
        <v>146</v>
      </c>
    </row>
    <row r="220" spans="1:14" s="17" customFormat="1" ht="15" customHeight="1" x14ac:dyDescent="0.25">
      <c r="A220" s="74" t="s">
        <v>312</v>
      </c>
      <c r="B220" s="74" t="s">
        <v>17</v>
      </c>
      <c r="C220" s="75">
        <v>8152459</v>
      </c>
      <c r="D220" s="76">
        <v>43903</v>
      </c>
      <c r="E220" s="76">
        <v>44174</v>
      </c>
      <c r="F220" s="74" t="s">
        <v>102</v>
      </c>
      <c r="G220" s="75">
        <v>38</v>
      </c>
      <c r="H220" s="75">
        <v>-500000</v>
      </c>
      <c r="I220" s="75">
        <v>0</v>
      </c>
      <c r="J220" s="74" t="s">
        <v>145</v>
      </c>
      <c r="K220" s="74" t="s">
        <v>102</v>
      </c>
      <c r="L220" s="74" t="s">
        <v>256</v>
      </c>
      <c r="M220" s="74" t="s">
        <v>146</v>
      </c>
      <c r="N220" s="62"/>
    </row>
    <row r="221" spans="1:14" s="17" customFormat="1" ht="15" customHeight="1" x14ac:dyDescent="0.25">
      <c r="A221" s="74" t="s">
        <v>298</v>
      </c>
      <c r="B221" s="74" t="s">
        <v>17</v>
      </c>
      <c r="C221" s="75">
        <v>8133646</v>
      </c>
      <c r="D221" s="76">
        <v>43901</v>
      </c>
      <c r="E221" s="76">
        <v>44092</v>
      </c>
      <c r="F221" s="74" t="s">
        <v>88</v>
      </c>
      <c r="G221" s="75">
        <v>37.700000000000003</v>
      </c>
      <c r="H221" s="75">
        <v>-1000000</v>
      </c>
      <c r="I221" s="75">
        <v>0</v>
      </c>
      <c r="J221" s="74" t="s">
        <v>145</v>
      </c>
      <c r="K221" s="74" t="s">
        <v>88</v>
      </c>
      <c r="L221" s="74" t="s">
        <v>159</v>
      </c>
      <c r="M221" s="74" t="s">
        <v>146</v>
      </c>
      <c r="N221" s="62"/>
    </row>
    <row r="222" spans="1:14" s="17" customFormat="1" ht="15" customHeight="1" x14ac:dyDescent="0.25">
      <c r="A222" s="74" t="s">
        <v>314</v>
      </c>
      <c r="B222" s="74" t="s">
        <v>17</v>
      </c>
      <c r="C222" s="75">
        <v>8079058</v>
      </c>
      <c r="D222" s="76">
        <v>43892</v>
      </c>
      <c r="E222" s="76">
        <v>44111</v>
      </c>
      <c r="F222" s="74" t="s">
        <v>103</v>
      </c>
      <c r="G222" s="75">
        <v>37.549999999999997</v>
      </c>
      <c r="H222" s="75">
        <v>500000</v>
      </c>
      <c r="I222" s="75">
        <v>0</v>
      </c>
      <c r="J222" s="74" t="s">
        <v>145</v>
      </c>
      <c r="K222" s="74" t="s">
        <v>146</v>
      </c>
      <c r="L222" s="74" t="s">
        <v>146</v>
      </c>
      <c r="M222" s="74" t="s">
        <v>146</v>
      </c>
      <c r="N222" s="62"/>
    </row>
    <row r="223" spans="1:14" s="17" customFormat="1" ht="15" customHeight="1" x14ac:dyDescent="0.25">
      <c r="A223" s="74" t="s">
        <v>315</v>
      </c>
      <c r="B223" s="74" t="s">
        <v>17</v>
      </c>
      <c r="C223" s="75">
        <v>8079226</v>
      </c>
      <c r="D223" s="76">
        <v>43892</v>
      </c>
      <c r="E223" s="76">
        <v>44111</v>
      </c>
      <c r="F223" s="74" t="s">
        <v>103</v>
      </c>
      <c r="G223" s="75">
        <v>37.549999999999997</v>
      </c>
      <c r="H223" s="75">
        <v>500000</v>
      </c>
      <c r="I223" s="75">
        <v>0</v>
      </c>
      <c r="J223" s="74" t="s">
        <v>145</v>
      </c>
      <c r="K223" s="74" t="s">
        <v>146</v>
      </c>
      <c r="L223" s="74" t="s">
        <v>146</v>
      </c>
      <c r="M223" s="74" t="s">
        <v>146</v>
      </c>
      <c r="N223" s="62"/>
    </row>
    <row r="224" spans="1:14" s="17" customFormat="1" ht="15" customHeight="1" x14ac:dyDescent="0.25">
      <c r="A224" s="74" t="s">
        <v>316</v>
      </c>
      <c r="B224" s="74" t="s">
        <v>17</v>
      </c>
      <c r="C224" s="75">
        <v>8072214</v>
      </c>
      <c r="D224" s="76">
        <v>43889</v>
      </c>
      <c r="E224" s="76">
        <v>44110</v>
      </c>
      <c r="F224" s="74" t="s">
        <v>103</v>
      </c>
      <c r="G224" s="75">
        <v>37.61</v>
      </c>
      <c r="H224" s="75">
        <v>500000</v>
      </c>
      <c r="I224" s="75">
        <v>0</v>
      </c>
      <c r="J224" s="74" t="s">
        <v>145</v>
      </c>
      <c r="K224" s="74" t="s">
        <v>146</v>
      </c>
      <c r="L224" s="74" t="s">
        <v>146</v>
      </c>
      <c r="M224" s="74" t="s">
        <v>146</v>
      </c>
      <c r="N224" s="62"/>
    </row>
    <row r="225" spans="1:14" s="17" customFormat="1" ht="15" customHeight="1" x14ac:dyDescent="0.25">
      <c r="A225" s="74" t="s">
        <v>267</v>
      </c>
      <c r="B225" s="74" t="s">
        <v>17</v>
      </c>
      <c r="C225" s="75">
        <v>8808940</v>
      </c>
      <c r="D225" s="76">
        <v>44063</v>
      </c>
      <c r="E225" s="76">
        <v>44067</v>
      </c>
      <c r="F225" s="74" t="s">
        <v>94</v>
      </c>
      <c r="G225" s="75">
        <v>1.18516</v>
      </c>
      <c r="H225" s="75">
        <v>87701.84</v>
      </c>
      <c r="I225" s="75">
        <v>0</v>
      </c>
      <c r="J225" s="74" t="s">
        <v>145</v>
      </c>
      <c r="K225" s="74" t="s">
        <v>146</v>
      </c>
      <c r="L225" s="74" t="s">
        <v>146</v>
      </c>
      <c r="M225" s="74" t="s">
        <v>146</v>
      </c>
      <c r="N225" s="62"/>
    </row>
    <row r="226" spans="1:14" s="17" customFormat="1" ht="15" customHeight="1" x14ac:dyDescent="0.25">
      <c r="A226" s="74" t="s">
        <v>325</v>
      </c>
      <c r="B226" s="74" t="s">
        <v>17</v>
      </c>
      <c r="C226" s="75">
        <v>7987200</v>
      </c>
      <c r="D226" s="76">
        <v>43871</v>
      </c>
      <c r="E226" s="76">
        <v>44211</v>
      </c>
      <c r="F226" s="74" t="s">
        <v>96</v>
      </c>
      <c r="G226" s="75">
        <v>1.11696</v>
      </c>
      <c r="H226" s="75">
        <v>1000000</v>
      </c>
      <c r="I226" s="75">
        <v>0</v>
      </c>
      <c r="J226" s="74" t="s">
        <v>145</v>
      </c>
      <c r="K226" s="74" t="s">
        <v>146</v>
      </c>
      <c r="L226" s="74" t="s">
        <v>146</v>
      </c>
      <c r="M226" s="74" t="s">
        <v>146</v>
      </c>
      <c r="N226" s="62"/>
    </row>
    <row r="227" spans="1:14" s="17" customFormat="1" ht="15" customHeight="1" x14ac:dyDescent="0.25">
      <c r="A227" s="74" t="s">
        <v>250</v>
      </c>
      <c r="B227" s="74" t="s">
        <v>17</v>
      </c>
      <c r="C227" s="75">
        <v>7906297</v>
      </c>
      <c r="D227" s="76">
        <v>43850</v>
      </c>
      <c r="E227" s="76">
        <v>44144</v>
      </c>
      <c r="F227" s="74" t="s">
        <v>104</v>
      </c>
      <c r="G227" s="75">
        <v>36.799999999999997</v>
      </c>
      <c r="H227" s="75">
        <v>400000</v>
      </c>
      <c r="I227" s="75">
        <v>0</v>
      </c>
      <c r="J227" s="74" t="s">
        <v>145</v>
      </c>
      <c r="K227" s="74" t="s">
        <v>104</v>
      </c>
      <c r="L227" s="74" t="s">
        <v>195</v>
      </c>
      <c r="M227" s="74" t="s">
        <v>146</v>
      </c>
      <c r="N227" s="62"/>
    </row>
    <row r="228" spans="1:14" s="17" customFormat="1" ht="15" customHeight="1" x14ac:dyDescent="0.25">
      <c r="A228" s="74" t="s">
        <v>251</v>
      </c>
      <c r="B228" s="74" t="s">
        <v>17</v>
      </c>
      <c r="C228" s="75">
        <v>7906285</v>
      </c>
      <c r="D228" s="76">
        <v>43850</v>
      </c>
      <c r="E228" s="76">
        <v>44113</v>
      </c>
      <c r="F228" s="74" t="s">
        <v>104</v>
      </c>
      <c r="G228" s="75">
        <v>36.799999999999997</v>
      </c>
      <c r="H228" s="75">
        <v>400000</v>
      </c>
      <c r="I228" s="75">
        <v>0</v>
      </c>
      <c r="J228" s="74" t="s">
        <v>145</v>
      </c>
      <c r="K228" s="74" t="s">
        <v>104</v>
      </c>
      <c r="L228" s="74" t="s">
        <v>195</v>
      </c>
      <c r="M228" s="74" t="s">
        <v>146</v>
      </c>
      <c r="N228" s="62"/>
    </row>
    <row r="229" spans="1:14" s="17" customFormat="1" ht="15" customHeight="1" x14ac:dyDescent="0.25">
      <c r="A229" s="74" t="s">
        <v>254</v>
      </c>
      <c r="B229" s="74" t="s">
        <v>17</v>
      </c>
      <c r="C229" s="75">
        <v>7906264</v>
      </c>
      <c r="D229" s="76">
        <v>43850</v>
      </c>
      <c r="E229" s="76">
        <v>44088</v>
      </c>
      <c r="F229" s="74" t="s">
        <v>104</v>
      </c>
      <c r="G229" s="75">
        <v>36.799999999999997</v>
      </c>
      <c r="H229" s="75">
        <v>700000</v>
      </c>
      <c r="I229" s="75">
        <v>0</v>
      </c>
      <c r="J229" s="74" t="s">
        <v>145</v>
      </c>
      <c r="K229" s="74" t="s">
        <v>104</v>
      </c>
      <c r="L229" s="74" t="s">
        <v>195</v>
      </c>
      <c r="M229" s="74" t="s">
        <v>146</v>
      </c>
      <c r="N229" s="62"/>
    </row>
    <row r="230" spans="1:14" s="17" customFormat="1" ht="15" customHeight="1" x14ac:dyDescent="0.25">
      <c r="A230" s="74" t="s">
        <v>255</v>
      </c>
      <c r="B230" s="74" t="s">
        <v>17</v>
      </c>
      <c r="C230" s="75">
        <v>7925613</v>
      </c>
      <c r="D230" s="76">
        <v>43854</v>
      </c>
      <c r="E230" s="76">
        <v>44077</v>
      </c>
      <c r="F230" s="74" t="s">
        <v>102</v>
      </c>
      <c r="G230" s="75">
        <v>36.65</v>
      </c>
      <c r="H230" s="75">
        <v>-1000000</v>
      </c>
      <c r="I230" s="75">
        <v>0</v>
      </c>
      <c r="J230" s="74" t="s">
        <v>145</v>
      </c>
      <c r="K230" s="74" t="s">
        <v>102</v>
      </c>
      <c r="L230" s="74" t="s">
        <v>256</v>
      </c>
      <c r="M230" s="74" t="s">
        <v>146</v>
      </c>
      <c r="N230" s="62"/>
    </row>
    <row r="231" spans="1:14" s="17" customFormat="1" ht="15" customHeight="1" x14ac:dyDescent="0.25">
      <c r="A231" s="74" t="s">
        <v>257</v>
      </c>
      <c r="B231" s="74" t="s">
        <v>17</v>
      </c>
      <c r="C231" s="75">
        <v>7979734</v>
      </c>
      <c r="D231" s="76">
        <v>43868</v>
      </c>
      <c r="E231" s="76">
        <v>44077</v>
      </c>
      <c r="F231" s="74" t="s">
        <v>102</v>
      </c>
      <c r="G231" s="75">
        <v>36.85</v>
      </c>
      <c r="H231" s="75">
        <v>-500000</v>
      </c>
      <c r="I231" s="75">
        <v>0</v>
      </c>
      <c r="J231" s="74" t="s">
        <v>145</v>
      </c>
      <c r="K231" s="74" t="s">
        <v>102</v>
      </c>
      <c r="L231" s="74" t="s">
        <v>256</v>
      </c>
      <c r="M231" s="74" t="s">
        <v>146</v>
      </c>
      <c r="N231" s="62"/>
    </row>
    <row r="232" spans="1:14" s="17" customFormat="1" ht="15" customHeight="1" x14ac:dyDescent="0.25">
      <c r="A232" s="74" t="s">
        <v>317</v>
      </c>
      <c r="B232" s="74" t="s">
        <v>17</v>
      </c>
      <c r="C232" s="75">
        <v>8061545</v>
      </c>
      <c r="D232" s="76">
        <v>43888</v>
      </c>
      <c r="E232" s="76">
        <v>44109</v>
      </c>
      <c r="F232" s="74" t="s">
        <v>103</v>
      </c>
      <c r="G232" s="75">
        <v>37.729999999999997</v>
      </c>
      <c r="H232" s="75">
        <v>500000</v>
      </c>
      <c r="I232" s="75">
        <v>0</v>
      </c>
      <c r="J232" s="74" t="s">
        <v>145</v>
      </c>
      <c r="K232" s="74" t="s">
        <v>146</v>
      </c>
      <c r="L232" s="74" t="s">
        <v>146</v>
      </c>
      <c r="M232" s="74" t="s">
        <v>146</v>
      </c>
      <c r="N232" s="62"/>
    </row>
    <row r="233" spans="1:14" s="17" customFormat="1" ht="15" customHeight="1" x14ac:dyDescent="0.25">
      <c r="A233" s="74" t="s">
        <v>289</v>
      </c>
      <c r="B233" s="74" t="s">
        <v>17</v>
      </c>
      <c r="C233" s="75">
        <v>7987528</v>
      </c>
      <c r="D233" s="76">
        <v>43871</v>
      </c>
      <c r="E233" s="76">
        <v>44211</v>
      </c>
      <c r="F233" s="74" t="s">
        <v>99</v>
      </c>
      <c r="G233" s="75">
        <v>1.1172</v>
      </c>
      <c r="H233" s="75">
        <v>-1000000</v>
      </c>
      <c r="I233" s="75">
        <v>0</v>
      </c>
      <c r="J233" s="74" t="s">
        <v>145</v>
      </c>
      <c r="K233" s="74" t="s">
        <v>146</v>
      </c>
      <c r="L233" s="74" t="s">
        <v>146</v>
      </c>
      <c r="M233" s="74" t="s">
        <v>146</v>
      </c>
      <c r="N233" s="62"/>
    </row>
    <row r="234" spans="1:14" s="17" customFormat="1" ht="15" customHeight="1" x14ac:dyDescent="0.25">
      <c r="A234" s="74" t="s">
        <v>318</v>
      </c>
      <c r="B234" s="74" t="s">
        <v>17</v>
      </c>
      <c r="C234" s="75">
        <v>8062038</v>
      </c>
      <c r="D234" s="76">
        <v>43888</v>
      </c>
      <c r="E234" s="76">
        <v>44104</v>
      </c>
      <c r="F234" s="74" t="s">
        <v>103</v>
      </c>
      <c r="G234" s="75">
        <v>37.729999999999997</v>
      </c>
      <c r="H234" s="75">
        <v>500000</v>
      </c>
      <c r="I234" s="75">
        <v>0</v>
      </c>
      <c r="J234" s="74" t="s">
        <v>145</v>
      </c>
      <c r="K234" s="74" t="s">
        <v>146</v>
      </c>
      <c r="L234" s="74" t="s">
        <v>146</v>
      </c>
      <c r="M234" s="74" t="s">
        <v>146</v>
      </c>
      <c r="N234" s="62"/>
    </row>
    <row r="235" spans="1:14" s="17" customFormat="1" ht="15" customHeight="1" x14ac:dyDescent="0.25">
      <c r="A235" s="74" t="s">
        <v>324</v>
      </c>
      <c r="B235" s="74" t="s">
        <v>17</v>
      </c>
      <c r="C235" s="75">
        <v>8018285</v>
      </c>
      <c r="D235" s="76">
        <v>43878</v>
      </c>
      <c r="E235" s="76">
        <v>44090</v>
      </c>
      <c r="F235" s="74" t="s">
        <v>102</v>
      </c>
      <c r="G235" s="75">
        <v>37.299999999999997</v>
      </c>
      <c r="H235" s="75">
        <v>-500000</v>
      </c>
      <c r="I235" s="75">
        <v>0</v>
      </c>
      <c r="J235" s="74" t="s">
        <v>145</v>
      </c>
      <c r="K235" s="74" t="s">
        <v>102</v>
      </c>
      <c r="L235" s="74" t="s">
        <v>256</v>
      </c>
      <c r="M235" s="74" t="s">
        <v>146</v>
      </c>
      <c r="N235" s="62"/>
    </row>
    <row r="236" spans="1:14" s="17" customFormat="1" ht="15" customHeight="1" x14ac:dyDescent="0.25">
      <c r="A236" s="74" t="s">
        <v>323</v>
      </c>
      <c r="B236" s="74" t="s">
        <v>17</v>
      </c>
      <c r="C236" s="75">
        <v>8021873</v>
      </c>
      <c r="D236" s="76">
        <v>43879</v>
      </c>
      <c r="E236" s="76">
        <v>44110</v>
      </c>
      <c r="F236" s="74" t="s">
        <v>102</v>
      </c>
      <c r="G236" s="75">
        <v>37.35</v>
      </c>
      <c r="H236" s="75">
        <v>-500000</v>
      </c>
      <c r="I236" s="75">
        <v>0</v>
      </c>
      <c r="J236" s="74" t="s">
        <v>145</v>
      </c>
      <c r="K236" s="74" t="s">
        <v>102</v>
      </c>
      <c r="L236" s="74" t="s">
        <v>256</v>
      </c>
      <c r="M236" s="74" t="s">
        <v>146</v>
      </c>
      <c r="N236" s="62"/>
    </row>
    <row r="237" spans="1:14" s="17" customFormat="1" ht="15" customHeight="1" x14ac:dyDescent="0.25">
      <c r="A237" s="74" t="s">
        <v>322</v>
      </c>
      <c r="B237" s="74" t="s">
        <v>17</v>
      </c>
      <c r="C237" s="75">
        <v>8026628</v>
      </c>
      <c r="D237" s="76">
        <v>43880</v>
      </c>
      <c r="E237" s="76">
        <v>44119</v>
      </c>
      <c r="F237" s="74" t="s">
        <v>102</v>
      </c>
      <c r="G237" s="75">
        <v>37.450000000000003</v>
      </c>
      <c r="H237" s="75">
        <v>-500000</v>
      </c>
      <c r="I237" s="75">
        <v>0</v>
      </c>
      <c r="J237" s="74" t="s">
        <v>145</v>
      </c>
      <c r="K237" s="74" t="s">
        <v>102</v>
      </c>
      <c r="L237" s="74" t="s">
        <v>256</v>
      </c>
      <c r="M237" s="74" t="s">
        <v>146</v>
      </c>
      <c r="N237" s="62"/>
    </row>
    <row r="238" spans="1:14" s="17" customFormat="1" ht="15" customHeight="1" x14ac:dyDescent="0.25">
      <c r="A238" s="74" t="s">
        <v>321</v>
      </c>
      <c r="B238" s="74" t="s">
        <v>17</v>
      </c>
      <c r="C238" s="75">
        <v>8026610</v>
      </c>
      <c r="D238" s="76">
        <v>43880</v>
      </c>
      <c r="E238" s="76">
        <v>44141</v>
      </c>
      <c r="F238" s="74" t="s">
        <v>102</v>
      </c>
      <c r="G238" s="75">
        <v>37.5</v>
      </c>
      <c r="H238" s="75">
        <v>-500000</v>
      </c>
      <c r="I238" s="75">
        <v>0</v>
      </c>
      <c r="J238" s="74" t="s">
        <v>145</v>
      </c>
      <c r="K238" s="74" t="s">
        <v>102</v>
      </c>
      <c r="L238" s="74" t="s">
        <v>256</v>
      </c>
      <c r="M238" s="74" t="s">
        <v>146</v>
      </c>
      <c r="N238" s="62"/>
    </row>
    <row r="239" spans="1:14" s="17" customFormat="1" ht="15" customHeight="1" x14ac:dyDescent="0.25">
      <c r="A239" s="74" t="s">
        <v>320</v>
      </c>
      <c r="B239" s="74" t="s">
        <v>17</v>
      </c>
      <c r="C239" s="75">
        <v>8053975</v>
      </c>
      <c r="D239" s="76">
        <v>43887</v>
      </c>
      <c r="E239" s="76">
        <v>44109</v>
      </c>
      <c r="F239" s="74" t="s">
        <v>103</v>
      </c>
      <c r="G239" s="75">
        <v>37.774999999999999</v>
      </c>
      <c r="H239" s="75">
        <v>1000000</v>
      </c>
      <c r="I239" s="75">
        <v>0</v>
      </c>
      <c r="J239" s="74" t="s">
        <v>145</v>
      </c>
      <c r="K239" s="74" t="s">
        <v>146</v>
      </c>
      <c r="L239" s="74" t="s">
        <v>146</v>
      </c>
      <c r="M239" s="74" t="s">
        <v>146</v>
      </c>
      <c r="N239" s="62"/>
    </row>
    <row r="240" spans="1:14" s="17" customFormat="1" ht="15" customHeight="1" x14ac:dyDescent="0.25">
      <c r="A240" s="74" t="s">
        <v>307</v>
      </c>
      <c r="B240" s="74" t="s">
        <v>17</v>
      </c>
      <c r="C240" s="75">
        <v>8487532</v>
      </c>
      <c r="D240" s="76">
        <v>43986</v>
      </c>
      <c r="E240" s="76">
        <v>44145</v>
      </c>
      <c r="F240" s="74" t="s">
        <v>116</v>
      </c>
      <c r="G240" s="75">
        <v>39.700000000000003</v>
      </c>
      <c r="H240" s="75">
        <v>-400000</v>
      </c>
      <c r="I240" s="75">
        <v>0</v>
      </c>
      <c r="J240" s="74" t="s">
        <v>145</v>
      </c>
      <c r="K240" s="74" t="s">
        <v>146</v>
      </c>
      <c r="L240" s="74" t="s">
        <v>146</v>
      </c>
      <c r="M240" s="74" t="s">
        <v>146</v>
      </c>
      <c r="N240" s="62"/>
    </row>
    <row r="241" spans="1:14" s="17" customFormat="1" ht="15" customHeight="1" x14ac:dyDescent="0.25">
      <c r="A241" s="74" t="s">
        <v>258</v>
      </c>
      <c r="B241" s="74" t="s">
        <v>17</v>
      </c>
      <c r="C241" s="75">
        <v>7979729</v>
      </c>
      <c r="D241" s="76">
        <v>43868</v>
      </c>
      <c r="E241" s="76">
        <v>44090</v>
      </c>
      <c r="F241" s="74" t="s">
        <v>102</v>
      </c>
      <c r="G241" s="75">
        <v>36.85</v>
      </c>
      <c r="H241" s="75">
        <v>-500000</v>
      </c>
      <c r="I241" s="75">
        <v>0</v>
      </c>
      <c r="J241" s="74" t="s">
        <v>145</v>
      </c>
      <c r="K241" s="74" t="s">
        <v>102</v>
      </c>
      <c r="L241" s="74" t="s">
        <v>256</v>
      </c>
      <c r="M241" s="74" t="s">
        <v>146</v>
      </c>
      <c r="N241" s="62"/>
    </row>
    <row r="242" spans="1:14" s="17" customFormat="1" ht="15" customHeight="1" x14ac:dyDescent="0.25">
      <c r="A242" s="74" t="s">
        <v>334</v>
      </c>
      <c r="B242" s="74" t="s">
        <v>17</v>
      </c>
      <c r="C242" s="75">
        <v>8748889</v>
      </c>
      <c r="D242" s="76">
        <v>44049</v>
      </c>
      <c r="E242" s="76">
        <v>44155</v>
      </c>
      <c r="F242" s="74" t="s">
        <v>104</v>
      </c>
      <c r="G242" s="75">
        <v>40.1</v>
      </c>
      <c r="H242" s="75">
        <v>860000</v>
      </c>
      <c r="I242" s="75">
        <v>0</v>
      </c>
      <c r="J242" s="74" t="s">
        <v>145</v>
      </c>
      <c r="K242" s="74" t="s">
        <v>104</v>
      </c>
      <c r="L242" s="74" t="s">
        <v>195</v>
      </c>
      <c r="M242" s="74" t="s">
        <v>146</v>
      </c>
      <c r="N242" s="62"/>
    </row>
    <row r="243" spans="1:14" s="17" customFormat="1" ht="15" customHeight="1" x14ac:dyDescent="0.25">
      <c r="A243" s="74" t="s">
        <v>313</v>
      </c>
      <c r="B243" s="74" t="s">
        <v>17</v>
      </c>
      <c r="C243" s="75">
        <v>8505926</v>
      </c>
      <c r="D243" s="76">
        <v>43992</v>
      </c>
      <c r="E243" s="76">
        <v>44145</v>
      </c>
      <c r="F243" s="74" t="s">
        <v>302</v>
      </c>
      <c r="G243" s="75">
        <v>40.15</v>
      </c>
      <c r="H243" s="75">
        <v>100000</v>
      </c>
      <c r="I243" s="75">
        <v>0</v>
      </c>
      <c r="J243" s="74" t="s">
        <v>145</v>
      </c>
      <c r="K243" s="74" t="s">
        <v>146</v>
      </c>
      <c r="L243" s="74" t="s">
        <v>146</v>
      </c>
      <c r="M243" s="74" t="s">
        <v>146</v>
      </c>
      <c r="N243" s="56"/>
    </row>
    <row r="244" spans="1:14" s="17" customFormat="1" ht="15" customHeight="1" x14ac:dyDescent="0.25">
      <c r="A244" s="74" t="s">
        <v>341</v>
      </c>
      <c r="B244" s="74" t="s">
        <v>17</v>
      </c>
      <c r="C244" s="75">
        <v>8737150</v>
      </c>
      <c r="D244" s="76">
        <v>44047</v>
      </c>
      <c r="E244" s="76">
        <v>44084</v>
      </c>
      <c r="F244" s="74" t="s">
        <v>134</v>
      </c>
      <c r="G244" s="75">
        <v>40.15</v>
      </c>
      <c r="H244" s="75">
        <v>70363.960000000006</v>
      </c>
      <c r="I244" s="75">
        <v>0</v>
      </c>
      <c r="J244" s="74" t="s">
        <v>145</v>
      </c>
      <c r="K244" s="74" t="s">
        <v>134</v>
      </c>
      <c r="L244" s="74" t="s">
        <v>155</v>
      </c>
      <c r="M244" s="74" t="s">
        <v>146</v>
      </c>
      <c r="N244" s="56"/>
    </row>
    <row r="245" spans="1:14" s="17" customFormat="1" ht="15" customHeight="1" x14ac:dyDescent="0.25">
      <c r="A245" s="74" t="s">
        <v>333</v>
      </c>
      <c r="B245" s="74" t="s">
        <v>17</v>
      </c>
      <c r="C245" s="75">
        <v>8737116</v>
      </c>
      <c r="D245" s="76">
        <v>44047</v>
      </c>
      <c r="E245" s="76">
        <v>44078</v>
      </c>
      <c r="F245" s="74" t="s">
        <v>134</v>
      </c>
      <c r="G245" s="75">
        <v>40.15</v>
      </c>
      <c r="H245" s="75">
        <v>276756.5</v>
      </c>
      <c r="I245" s="75">
        <v>0</v>
      </c>
      <c r="J245" s="74" t="s">
        <v>145</v>
      </c>
      <c r="K245" s="74" t="s">
        <v>134</v>
      </c>
      <c r="L245" s="74" t="s">
        <v>155</v>
      </c>
      <c r="M245" s="74" t="s">
        <v>146</v>
      </c>
      <c r="N245" s="56"/>
    </row>
    <row r="246" spans="1:14" s="17" customFormat="1" ht="15" customHeight="1" x14ac:dyDescent="0.25">
      <c r="A246" s="74" t="s">
        <v>336</v>
      </c>
      <c r="B246" s="74" t="s">
        <v>17</v>
      </c>
      <c r="C246" s="75">
        <v>8735910</v>
      </c>
      <c r="D246" s="76">
        <v>44047</v>
      </c>
      <c r="E246" s="76">
        <v>44092</v>
      </c>
      <c r="F246" s="74" t="s">
        <v>127</v>
      </c>
      <c r="G246" s="75">
        <v>40.15</v>
      </c>
      <c r="H246" s="75">
        <v>193126.14</v>
      </c>
      <c r="I246" s="75">
        <v>0</v>
      </c>
      <c r="J246" s="74" t="s">
        <v>145</v>
      </c>
      <c r="K246" s="74" t="s">
        <v>127</v>
      </c>
      <c r="L246" s="74" t="s">
        <v>155</v>
      </c>
      <c r="M246" s="74" t="s">
        <v>146</v>
      </c>
      <c r="N246" s="56"/>
    </row>
    <row r="247" spans="1:14" s="17" customFormat="1" ht="15" customHeight="1" x14ac:dyDescent="0.25">
      <c r="A247" s="74" t="s">
        <v>345</v>
      </c>
      <c r="B247" s="74" t="s">
        <v>17</v>
      </c>
      <c r="C247" s="75">
        <v>8708139</v>
      </c>
      <c r="D247" s="76">
        <v>44040</v>
      </c>
      <c r="E247" s="76">
        <v>44078</v>
      </c>
      <c r="F247" s="74" t="s">
        <v>88</v>
      </c>
      <c r="G247" s="75">
        <v>1.1739999999999999</v>
      </c>
      <c r="H247" s="75">
        <v>587000</v>
      </c>
      <c r="I247" s="75">
        <v>0</v>
      </c>
      <c r="J247" s="74" t="s">
        <v>145</v>
      </c>
      <c r="K247" s="74" t="s">
        <v>88</v>
      </c>
      <c r="L247" s="74" t="s">
        <v>159</v>
      </c>
      <c r="M247" s="74" t="s">
        <v>146</v>
      </c>
      <c r="N247" s="56"/>
    </row>
    <row r="248" spans="1:14" s="17" customFormat="1" ht="15" customHeight="1" x14ac:dyDescent="0.25">
      <c r="A248" s="74" t="s">
        <v>327</v>
      </c>
      <c r="B248" s="74" t="s">
        <v>17</v>
      </c>
      <c r="C248" s="75">
        <v>8735494</v>
      </c>
      <c r="D248" s="76">
        <v>44047</v>
      </c>
      <c r="E248" s="76">
        <v>44095</v>
      </c>
      <c r="F248" s="74" t="s">
        <v>104</v>
      </c>
      <c r="G248" s="75">
        <v>40.159999999999997</v>
      </c>
      <c r="H248" s="75">
        <v>1100000</v>
      </c>
      <c r="I248" s="75">
        <v>0</v>
      </c>
      <c r="J248" s="74" t="s">
        <v>145</v>
      </c>
      <c r="K248" s="74" t="s">
        <v>104</v>
      </c>
      <c r="L248" s="74" t="s">
        <v>195</v>
      </c>
      <c r="M248" s="74" t="s">
        <v>146</v>
      </c>
      <c r="N248" s="56"/>
    </row>
    <row r="249" spans="1:14" s="17" customFormat="1" ht="15" customHeight="1" x14ac:dyDescent="0.25">
      <c r="A249" s="74" t="s">
        <v>337</v>
      </c>
      <c r="B249" s="74" t="s">
        <v>17</v>
      </c>
      <c r="C249" s="75">
        <v>8726751</v>
      </c>
      <c r="D249" s="76">
        <v>44043</v>
      </c>
      <c r="E249" s="76">
        <v>44124</v>
      </c>
      <c r="F249" s="74" t="s">
        <v>129</v>
      </c>
      <c r="G249" s="75">
        <v>40.049999999999997</v>
      </c>
      <c r="H249" s="75">
        <v>115938</v>
      </c>
      <c r="I249" s="75">
        <v>0</v>
      </c>
      <c r="J249" s="74" t="s">
        <v>145</v>
      </c>
      <c r="K249" s="74" t="s">
        <v>146</v>
      </c>
      <c r="L249" s="74" t="s">
        <v>146</v>
      </c>
      <c r="M249" s="74" t="s">
        <v>146</v>
      </c>
      <c r="N249" s="56"/>
    </row>
    <row r="250" spans="1:14" s="17" customFormat="1" ht="15" customHeight="1" x14ac:dyDescent="0.25">
      <c r="A250" s="74" t="s">
        <v>328</v>
      </c>
      <c r="B250" s="74" t="s">
        <v>17</v>
      </c>
      <c r="C250" s="75">
        <v>8748865</v>
      </c>
      <c r="D250" s="76">
        <v>44049</v>
      </c>
      <c r="E250" s="76">
        <v>44124</v>
      </c>
      <c r="F250" s="74" t="s">
        <v>104</v>
      </c>
      <c r="G250" s="75">
        <v>40.090000000000003</v>
      </c>
      <c r="H250" s="75">
        <v>860000</v>
      </c>
      <c r="I250" s="75">
        <v>0</v>
      </c>
      <c r="J250" s="74" t="s">
        <v>145</v>
      </c>
      <c r="K250" s="74" t="s">
        <v>104</v>
      </c>
      <c r="L250" s="74" t="s">
        <v>195</v>
      </c>
      <c r="M250" s="74" t="s">
        <v>146</v>
      </c>
      <c r="N250" s="56"/>
    </row>
    <row r="251" spans="1:14" s="17" customFormat="1" ht="15" customHeight="1" x14ac:dyDescent="0.25">
      <c r="A251" s="74" t="s">
        <v>329</v>
      </c>
      <c r="B251" s="74" t="s">
        <v>17</v>
      </c>
      <c r="C251" s="75">
        <v>8748087</v>
      </c>
      <c r="D251" s="76">
        <v>44049</v>
      </c>
      <c r="E251" s="76">
        <v>44120</v>
      </c>
      <c r="F251" s="74" t="s">
        <v>127</v>
      </c>
      <c r="G251" s="75">
        <v>40.159999999999997</v>
      </c>
      <c r="H251" s="75">
        <v>13428.6</v>
      </c>
      <c r="I251" s="75">
        <v>0</v>
      </c>
      <c r="J251" s="74" t="s">
        <v>145</v>
      </c>
      <c r="K251" s="74" t="s">
        <v>127</v>
      </c>
      <c r="L251" s="74" t="s">
        <v>155</v>
      </c>
      <c r="M251" s="74" t="s">
        <v>146</v>
      </c>
      <c r="N251" s="56"/>
    </row>
    <row r="252" spans="1:14" s="17" customFormat="1" ht="15" customHeight="1" x14ac:dyDescent="0.25">
      <c r="A252" s="74" t="s">
        <v>331</v>
      </c>
      <c r="B252" s="74" t="s">
        <v>17</v>
      </c>
      <c r="C252" s="75">
        <v>8748070</v>
      </c>
      <c r="D252" s="76">
        <v>44049</v>
      </c>
      <c r="E252" s="76">
        <v>44098</v>
      </c>
      <c r="F252" s="74" t="s">
        <v>127</v>
      </c>
      <c r="G252" s="75">
        <v>40.130000000000003</v>
      </c>
      <c r="H252" s="75">
        <v>15591.08</v>
      </c>
      <c r="I252" s="75">
        <v>0</v>
      </c>
      <c r="J252" s="74" t="s">
        <v>145</v>
      </c>
      <c r="K252" s="74" t="s">
        <v>127</v>
      </c>
      <c r="L252" s="74" t="s">
        <v>155</v>
      </c>
      <c r="M252" s="74" t="s">
        <v>146</v>
      </c>
      <c r="N252" s="56"/>
    </row>
    <row r="253" spans="1:14" s="17" customFormat="1" ht="15" customHeight="1" x14ac:dyDescent="0.25">
      <c r="A253" s="74" t="s">
        <v>335</v>
      </c>
      <c r="B253" s="74" t="s">
        <v>17</v>
      </c>
      <c r="C253" s="75">
        <v>8752805</v>
      </c>
      <c r="D253" s="76">
        <v>44050</v>
      </c>
      <c r="E253" s="76">
        <v>44186</v>
      </c>
      <c r="F253" s="74" t="s">
        <v>104</v>
      </c>
      <c r="G253" s="75">
        <v>40.1</v>
      </c>
      <c r="H253" s="75">
        <v>755000</v>
      </c>
      <c r="I253" s="75">
        <v>0</v>
      </c>
      <c r="J253" s="74" t="s">
        <v>145</v>
      </c>
      <c r="K253" s="74" t="s">
        <v>104</v>
      </c>
      <c r="L253" s="74" t="s">
        <v>195</v>
      </c>
      <c r="M253" s="74" t="s">
        <v>146</v>
      </c>
      <c r="N253" s="56"/>
    </row>
    <row r="254" spans="1:14" s="17" customFormat="1" ht="15" customHeight="1" x14ac:dyDescent="0.25">
      <c r="A254" s="74" t="s">
        <v>343</v>
      </c>
      <c r="B254" s="74" t="s">
        <v>17</v>
      </c>
      <c r="C254" s="75">
        <v>8761911</v>
      </c>
      <c r="D254" s="76">
        <v>44053</v>
      </c>
      <c r="E254" s="76">
        <v>44068</v>
      </c>
      <c r="F254" s="74" t="s">
        <v>94</v>
      </c>
      <c r="G254" s="75">
        <v>6.97797</v>
      </c>
      <c r="H254" s="75">
        <v>-286616.46999999997</v>
      </c>
      <c r="I254" s="75">
        <v>0</v>
      </c>
      <c r="J254" s="74" t="s">
        <v>145</v>
      </c>
      <c r="K254" s="74" t="s">
        <v>146</v>
      </c>
      <c r="L254" s="74" t="s">
        <v>146</v>
      </c>
      <c r="M254" s="74" t="s">
        <v>146</v>
      </c>
      <c r="N254" s="18"/>
    </row>
    <row r="255" spans="1:14" s="17" customFormat="1" ht="15" customHeight="1" x14ac:dyDescent="0.25">
      <c r="A255" s="74" t="s">
        <v>303</v>
      </c>
      <c r="B255" s="74" t="s">
        <v>17</v>
      </c>
      <c r="C255" s="75">
        <v>8761290</v>
      </c>
      <c r="D255" s="76">
        <v>44053</v>
      </c>
      <c r="E255" s="76">
        <v>44092</v>
      </c>
      <c r="F255" s="74" t="s">
        <v>136</v>
      </c>
      <c r="G255" s="75">
        <v>39.9</v>
      </c>
      <c r="H255" s="75">
        <v>1400000</v>
      </c>
      <c r="I255" s="75">
        <v>0</v>
      </c>
      <c r="J255" s="74" t="s">
        <v>145</v>
      </c>
      <c r="K255" s="74" t="s">
        <v>146</v>
      </c>
      <c r="L255" s="74" t="s">
        <v>146</v>
      </c>
      <c r="M255" s="74" t="s">
        <v>146</v>
      </c>
      <c r="N255" s="18"/>
    </row>
    <row r="256" spans="1:14" s="17" customFormat="1" ht="15" customHeight="1" x14ac:dyDescent="0.25">
      <c r="A256" s="74" t="s">
        <v>330</v>
      </c>
      <c r="B256" s="74" t="s">
        <v>17</v>
      </c>
      <c r="C256" s="75">
        <v>8735905</v>
      </c>
      <c r="D256" s="76">
        <v>44047</v>
      </c>
      <c r="E256" s="76">
        <v>44074</v>
      </c>
      <c r="F256" s="74" t="s">
        <v>135</v>
      </c>
      <c r="G256" s="75">
        <v>40.090000000000003</v>
      </c>
      <c r="H256" s="75">
        <v>300000</v>
      </c>
      <c r="I256" s="75">
        <v>0</v>
      </c>
      <c r="J256" s="74" t="s">
        <v>145</v>
      </c>
      <c r="K256" s="74" t="s">
        <v>135</v>
      </c>
      <c r="L256" s="74" t="s">
        <v>155</v>
      </c>
      <c r="M256" s="74" t="s">
        <v>146</v>
      </c>
      <c r="N256" s="18"/>
    </row>
    <row r="257" spans="1:14" s="17" customFormat="1" ht="15" customHeight="1" x14ac:dyDescent="0.25">
      <c r="A257" s="74" t="s">
        <v>340</v>
      </c>
      <c r="B257" s="74" t="s">
        <v>17</v>
      </c>
      <c r="C257" s="75">
        <v>8622323</v>
      </c>
      <c r="D257" s="76">
        <v>44020</v>
      </c>
      <c r="E257" s="76">
        <v>44095</v>
      </c>
      <c r="F257" s="74" t="s">
        <v>124</v>
      </c>
      <c r="G257" s="75">
        <v>40.369999999999997</v>
      </c>
      <c r="H257" s="75">
        <v>100000</v>
      </c>
      <c r="I257" s="75">
        <v>0</v>
      </c>
      <c r="J257" s="74" t="s">
        <v>145</v>
      </c>
      <c r="K257" s="74" t="s">
        <v>124</v>
      </c>
      <c r="L257" s="74" t="s">
        <v>155</v>
      </c>
      <c r="M257" s="74" t="s">
        <v>146</v>
      </c>
      <c r="N257" s="18"/>
    </row>
    <row r="258" spans="1:14" s="17" customFormat="1" ht="15" customHeight="1" x14ac:dyDescent="0.25">
      <c r="A258" s="74" t="s">
        <v>301</v>
      </c>
      <c r="B258" s="74" t="s">
        <v>17</v>
      </c>
      <c r="C258" s="75">
        <v>8505326</v>
      </c>
      <c r="D258" s="76">
        <v>43992</v>
      </c>
      <c r="E258" s="76">
        <v>44145</v>
      </c>
      <c r="F258" s="74" t="s">
        <v>302</v>
      </c>
      <c r="G258" s="75">
        <v>40.15</v>
      </c>
      <c r="H258" s="75">
        <v>150000</v>
      </c>
      <c r="I258" s="75">
        <v>0</v>
      </c>
      <c r="J258" s="74" t="s">
        <v>145</v>
      </c>
      <c r="K258" s="74" t="s">
        <v>146</v>
      </c>
      <c r="L258" s="74" t="s">
        <v>146</v>
      </c>
      <c r="M258" s="74" t="s">
        <v>146</v>
      </c>
      <c r="N258" s="18"/>
    </row>
    <row r="259" spans="1:14" s="17" customFormat="1" ht="15" customHeight="1" x14ac:dyDescent="0.25">
      <c r="A259" s="74" t="s">
        <v>300</v>
      </c>
      <c r="B259" s="74" t="s">
        <v>17</v>
      </c>
      <c r="C259" s="75">
        <v>8576403</v>
      </c>
      <c r="D259" s="76">
        <v>44008</v>
      </c>
      <c r="E259" s="76">
        <v>44130</v>
      </c>
      <c r="F259" s="74" t="s">
        <v>243</v>
      </c>
      <c r="G259" s="75">
        <v>18.582899999999999</v>
      </c>
      <c r="H259" s="75">
        <v>1600000</v>
      </c>
      <c r="I259" s="75">
        <v>0</v>
      </c>
      <c r="J259" s="74" t="s">
        <v>145</v>
      </c>
      <c r="K259" s="74" t="s">
        <v>243</v>
      </c>
      <c r="L259" s="74" t="s">
        <v>244</v>
      </c>
      <c r="M259" s="74" t="s">
        <v>146</v>
      </c>
      <c r="N259" s="18"/>
    </row>
    <row r="260" spans="1:14" s="17" customFormat="1" ht="15" customHeight="1" x14ac:dyDescent="0.25">
      <c r="A260" s="74" t="s">
        <v>299</v>
      </c>
      <c r="B260" s="74" t="s">
        <v>17</v>
      </c>
      <c r="C260" s="75">
        <v>8575927</v>
      </c>
      <c r="D260" s="76">
        <v>44008</v>
      </c>
      <c r="E260" s="76">
        <v>44130</v>
      </c>
      <c r="F260" s="74" t="s">
        <v>123</v>
      </c>
      <c r="G260" s="75">
        <v>18.4529</v>
      </c>
      <c r="H260" s="75">
        <v>-1600000</v>
      </c>
      <c r="I260" s="75">
        <v>0</v>
      </c>
      <c r="J260" s="74" t="s">
        <v>145</v>
      </c>
      <c r="K260" s="74" t="s">
        <v>146</v>
      </c>
      <c r="L260" s="74" t="s">
        <v>146</v>
      </c>
      <c r="M260" s="74" t="s">
        <v>146</v>
      </c>
      <c r="N260" s="18"/>
    </row>
    <row r="261" spans="1:14" s="17" customFormat="1" ht="15" customHeight="1" x14ac:dyDescent="0.25">
      <c r="A261" s="74" t="s">
        <v>311</v>
      </c>
      <c r="B261" s="74" t="s">
        <v>17</v>
      </c>
      <c r="C261" s="75">
        <v>8601532</v>
      </c>
      <c r="D261" s="76">
        <v>44014</v>
      </c>
      <c r="E261" s="76">
        <v>44104</v>
      </c>
      <c r="F261" s="74" t="s">
        <v>119</v>
      </c>
      <c r="G261" s="75">
        <v>40.380000000000003</v>
      </c>
      <c r="H261" s="75">
        <v>125000</v>
      </c>
      <c r="I261" s="75">
        <v>0</v>
      </c>
      <c r="J261" s="74" t="s">
        <v>145</v>
      </c>
      <c r="K261" s="74" t="s">
        <v>146</v>
      </c>
      <c r="L261" s="74" t="s">
        <v>146</v>
      </c>
      <c r="M261" s="74" t="s">
        <v>146</v>
      </c>
      <c r="N261" s="18"/>
    </row>
    <row r="262" spans="1:14" s="17" customFormat="1" ht="15" customHeight="1" x14ac:dyDescent="0.25">
      <c r="A262" s="74" t="s">
        <v>332</v>
      </c>
      <c r="B262" s="74" t="s">
        <v>17</v>
      </c>
      <c r="C262" s="75">
        <v>8606950</v>
      </c>
      <c r="D262" s="76">
        <v>44015</v>
      </c>
      <c r="E262" s="76">
        <v>44158</v>
      </c>
      <c r="F262" s="74" t="s">
        <v>105</v>
      </c>
      <c r="G262" s="75">
        <v>40.299999999999997</v>
      </c>
      <c r="H262" s="75">
        <v>100000</v>
      </c>
      <c r="I262" s="75">
        <v>0</v>
      </c>
      <c r="J262" s="74" t="s">
        <v>145</v>
      </c>
      <c r="K262" s="74" t="s">
        <v>105</v>
      </c>
      <c r="L262" s="74" t="s">
        <v>169</v>
      </c>
      <c r="M262" s="74" t="s">
        <v>146</v>
      </c>
      <c r="N262" s="18"/>
    </row>
    <row r="263" spans="1:14" s="17" customFormat="1" ht="15" customHeight="1" x14ac:dyDescent="0.25">
      <c r="A263" s="74" t="s">
        <v>287</v>
      </c>
      <c r="B263" s="74" t="s">
        <v>17</v>
      </c>
      <c r="C263" s="75">
        <v>8615579</v>
      </c>
      <c r="D263" s="76">
        <v>44018</v>
      </c>
      <c r="E263" s="76">
        <v>44083</v>
      </c>
      <c r="F263" s="74" t="s">
        <v>105</v>
      </c>
      <c r="G263" s="75">
        <v>40.200000000000003</v>
      </c>
      <c r="H263" s="75">
        <v>38000</v>
      </c>
      <c r="I263" s="75">
        <v>0</v>
      </c>
      <c r="J263" s="74" t="s">
        <v>145</v>
      </c>
      <c r="K263" s="74" t="s">
        <v>105</v>
      </c>
      <c r="L263" s="74" t="s">
        <v>169</v>
      </c>
      <c r="M263" s="74" t="s">
        <v>146</v>
      </c>
      <c r="N263" s="18"/>
    </row>
    <row r="264" spans="1:14" s="17" customFormat="1" ht="15" customHeight="1" x14ac:dyDescent="0.25">
      <c r="A264" s="74" t="s">
        <v>344</v>
      </c>
      <c r="B264" s="74" t="s">
        <v>17</v>
      </c>
      <c r="C264" s="75">
        <v>8697043</v>
      </c>
      <c r="D264" s="76">
        <v>44036</v>
      </c>
      <c r="E264" s="76">
        <v>44225</v>
      </c>
      <c r="F264" s="74" t="s">
        <v>128</v>
      </c>
      <c r="G264" s="75">
        <v>40.479999999999997</v>
      </c>
      <c r="H264" s="75">
        <v>5000</v>
      </c>
      <c r="I264" s="75">
        <v>0</v>
      </c>
      <c r="J264" s="74" t="s">
        <v>145</v>
      </c>
      <c r="K264" s="74" t="s">
        <v>128</v>
      </c>
      <c r="L264" s="74" t="s">
        <v>164</v>
      </c>
      <c r="M264" s="74" t="s">
        <v>146</v>
      </c>
      <c r="N264" s="18"/>
    </row>
    <row r="265" spans="1:14" s="17" customFormat="1" ht="15" customHeight="1" x14ac:dyDescent="0.25">
      <c r="A265" s="74" t="s">
        <v>342</v>
      </c>
      <c r="B265" s="74" t="s">
        <v>17</v>
      </c>
      <c r="C265" s="75">
        <v>8643808</v>
      </c>
      <c r="D265" s="76">
        <v>44026</v>
      </c>
      <c r="E265" s="76">
        <v>44175</v>
      </c>
      <c r="F265" s="74" t="s">
        <v>116</v>
      </c>
      <c r="G265" s="75">
        <v>39.85</v>
      </c>
      <c r="H265" s="75">
        <v>-400000</v>
      </c>
      <c r="I265" s="75">
        <v>0</v>
      </c>
      <c r="J265" s="74" t="s">
        <v>145</v>
      </c>
      <c r="K265" s="74" t="s">
        <v>146</v>
      </c>
      <c r="L265" s="74" t="s">
        <v>146</v>
      </c>
      <c r="M265" s="74" t="s">
        <v>146</v>
      </c>
      <c r="N265" s="18"/>
    </row>
    <row r="266" spans="1:14" s="17" customFormat="1" ht="15" customHeight="1" x14ac:dyDescent="0.25">
      <c r="A266" s="74" t="s">
        <v>338</v>
      </c>
      <c r="B266" s="74" t="s">
        <v>17</v>
      </c>
      <c r="C266" s="75">
        <v>8646163</v>
      </c>
      <c r="D266" s="76">
        <v>44026</v>
      </c>
      <c r="E266" s="76">
        <v>44120</v>
      </c>
      <c r="F266" s="74" t="s">
        <v>96</v>
      </c>
      <c r="G266" s="75">
        <v>1.25322</v>
      </c>
      <c r="H266" s="75">
        <v>12532150</v>
      </c>
      <c r="I266" s="75">
        <v>0</v>
      </c>
      <c r="J266" s="74" t="s">
        <v>145</v>
      </c>
      <c r="K266" s="74" t="s">
        <v>146</v>
      </c>
      <c r="L266" s="74" t="s">
        <v>146</v>
      </c>
      <c r="M266" s="74" t="s">
        <v>146</v>
      </c>
      <c r="N266" s="18"/>
    </row>
    <row r="267" spans="1:14" s="17" customFormat="1" ht="15" customHeight="1" x14ac:dyDescent="0.25">
      <c r="A267" s="74" t="s">
        <v>434</v>
      </c>
      <c r="B267" s="74" t="s">
        <v>20</v>
      </c>
      <c r="C267" s="75">
        <v>8814470</v>
      </c>
      <c r="D267" s="76">
        <v>44064</v>
      </c>
      <c r="E267" s="76">
        <v>44068</v>
      </c>
      <c r="F267" s="74" t="s">
        <v>94</v>
      </c>
      <c r="G267" s="75">
        <v>17.27291</v>
      </c>
      <c r="H267" s="75">
        <v>-278000</v>
      </c>
      <c r="I267" s="75">
        <v>0</v>
      </c>
      <c r="J267" s="74" t="s">
        <v>145</v>
      </c>
      <c r="K267" s="74" t="s">
        <v>146</v>
      </c>
      <c r="L267" s="74" t="s">
        <v>146</v>
      </c>
      <c r="M267" s="74" t="s">
        <v>146</v>
      </c>
      <c r="N267" s="18"/>
    </row>
    <row r="268" spans="1:14" s="17" customFormat="1" ht="15" customHeight="1" x14ac:dyDescent="0.25">
      <c r="A268" s="74" t="s">
        <v>435</v>
      </c>
      <c r="B268" s="74" t="s">
        <v>20</v>
      </c>
      <c r="C268" s="75">
        <v>8815225</v>
      </c>
      <c r="D268" s="76">
        <v>44064</v>
      </c>
      <c r="E268" s="76">
        <v>44068</v>
      </c>
      <c r="F268" s="74" t="s">
        <v>94</v>
      </c>
      <c r="G268" s="75">
        <v>17.262160000000002</v>
      </c>
      <c r="H268" s="75">
        <v>-160000</v>
      </c>
      <c r="I268" s="75">
        <v>0</v>
      </c>
      <c r="J268" s="74" t="s">
        <v>145</v>
      </c>
      <c r="K268" s="74" t="s">
        <v>146</v>
      </c>
      <c r="L268" s="74" t="s">
        <v>146</v>
      </c>
      <c r="M268" s="74" t="s">
        <v>146</v>
      </c>
      <c r="N268" s="18"/>
    </row>
    <row r="269" spans="1:14" s="17" customFormat="1" ht="15" customHeight="1" x14ac:dyDescent="0.25">
      <c r="A269" s="74" t="s">
        <v>352</v>
      </c>
      <c r="B269" s="74" t="s">
        <v>20</v>
      </c>
      <c r="C269" s="75">
        <v>8119905</v>
      </c>
      <c r="D269" s="76">
        <v>43899</v>
      </c>
      <c r="E269" s="76">
        <v>44180</v>
      </c>
      <c r="F269" s="74" t="s">
        <v>110</v>
      </c>
      <c r="G269" s="75">
        <v>2.2400000000000002</v>
      </c>
      <c r="H269" s="75">
        <v>1000000</v>
      </c>
      <c r="I269" s="75">
        <v>0</v>
      </c>
      <c r="J269" s="74" t="s">
        <v>145</v>
      </c>
      <c r="K269" s="74" t="s">
        <v>110</v>
      </c>
      <c r="L269" s="74" t="s">
        <v>155</v>
      </c>
      <c r="M269" s="74" t="s">
        <v>146</v>
      </c>
      <c r="N269" s="18"/>
    </row>
    <row r="270" spans="1:14" s="17" customFormat="1" ht="15" customHeight="1" x14ac:dyDescent="0.25">
      <c r="A270" s="74" t="s">
        <v>350</v>
      </c>
      <c r="B270" s="74" t="s">
        <v>20</v>
      </c>
      <c r="C270" s="75">
        <v>8810490</v>
      </c>
      <c r="D270" s="76">
        <v>44063</v>
      </c>
      <c r="E270" s="76">
        <v>44067</v>
      </c>
      <c r="F270" s="74" t="s">
        <v>136</v>
      </c>
      <c r="G270" s="75">
        <v>2.34</v>
      </c>
      <c r="H270" s="75">
        <v>5824.18</v>
      </c>
      <c r="I270" s="75">
        <v>0</v>
      </c>
      <c r="J270" s="74" t="s">
        <v>145</v>
      </c>
      <c r="K270" s="74" t="s">
        <v>146</v>
      </c>
      <c r="L270" s="74" t="s">
        <v>146</v>
      </c>
      <c r="M270" s="74" t="s">
        <v>146</v>
      </c>
      <c r="N270" s="18"/>
    </row>
    <row r="271" spans="1:14" s="17" customFormat="1" ht="15" customHeight="1" x14ac:dyDescent="0.25">
      <c r="A271" s="74" t="s">
        <v>346</v>
      </c>
      <c r="B271" s="74" t="s">
        <v>20</v>
      </c>
      <c r="C271" s="75">
        <v>8810936</v>
      </c>
      <c r="D271" s="76">
        <v>44063</v>
      </c>
      <c r="E271" s="76">
        <v>44067</v>
      </c>
      <c r="F271" s="74" t="s">
        <v>96</v>
      </c>
      <c r="G271" s="75">
        <v>17.196999999999999</v>
      </c>
      <c r="H271" s="75">
        <v>-17197000</v>
      </c>
      <c r="I271" s="75">
        <v>0</v>
      </c>
      <c r="J271" s="74" t="s">
        <v>145</v>
      </c>
      <c r="K271" s="74" t="s">
        <v>146</v>
      </c>
      <c r="L271" s="74" t="s">
        <v>146</v>
      </c>
      <c r="M271" s="74" t="s">
        <v>146</v>
      </c>
      <c r="N271" s="18"/>
    </row>
    <row r="272" spans="1:14" s="17" customFormat="1" ht="15" customHeight="1" x14ac:dyDescent="0.25">
      <c r="A272" s="74" t="s">
        <v>349</v>
      </c>
      <c r="B272" s="74" t="s">
        <v>20</v>
      </c>
      <c r="C272" s="75">
        <v>8808569</v>
      </c>
      <c r="D272" s="76">
        <v>44063</v>
      </c>
      <c r="E272" s="76">
        <v>44067</v>
      </c>
      <c r="F272" s="74" t="s">
        <v>118</v>
      </c>
      <c r="G272" s="75">
        <v>2.3199999999999998</v>
      </c>
      <c r="H272" s="75">
        <v>163200</v>
      </c>
      <c r="I272" s="75">
        <v>0</v>
      </c>
      <c r="J272" s="74" t="s">
        <v>145</v>
      </c>
      <c r="K272" s="74" t="s">
        <v>118</v>
      </c>
      <c r="L272" s="74" t="s">
        <v>155</v>
      </c>
      <c r="M272" s="74" t="s">
        <v>146</v>
      </c>
      <c r="N272" s="18"/>
    </row>
    <row r="273" spans="1:14" s="17" customFormat="1" ht="15" customHeight="1" x14ac:dyDescent="0.25">
      <c r="A273" s="74" t="s">
        <v>348</v>
      </c>
      <c r="B273" s="74" t="s">
        <v>20</v>
      </c>
      <c r="C273" s="75">
        <v>8811830</v>
      </c>
      <c r="D273" s="76">
        <v>44063</v>
      </c>
      <c r="E273" s="76">
        <v>44067</v>
      </c>
      <c r="F273" s="74" t="s">
        <v>94</v>
      </c>
      <c r="G273" s="75">
        <v>17.324639999999999</v>
      </c>
      <c r="H273" s="75">
        <v>-80000</v>
      </c>
      <c r="I273" s="75">
        <v>0</v>
      </c>
      <c r="J273" s="74" t="s">
        <v>145</v>
      </c>
      <c r="K273" s="74" t="s">
        <v>146</v>
      </c>
      <c r="L273" s="74" t="s">
        <v>146</v>
      </c>
      <c r="M273" s="74" t="s">
        <v>146</v>
      </c>
      <c r="N273" s="18"/>
    </row>
    <row r="274" spans="1:14" s="17" customFormat="1" ht="15" customHeight="1" x14ac:dyDescent="0.25">
      <c r="A274" s="74" t="s">
        <v>351</v>
      </c>
      <c r="B274" s="74" t="s">
        <v>20</v>
      </c>
      <c r="C274" s="75">
        <v>8811747</v>
      </c>
      <c r="D274" s="76">
        <v>44063</v>
      </c>
      <c r="E274" s="76">
        <v>44067</v>
      </c>
      <c r="F274" s="74" t="s">
        <v>133</v>
      </c>
      <c r="G274" s="75">
        <v>17.275829999999999</v>
      </c>
      <c r="H274" s="75">
        <v>17275830</v>
      </c>
      <c r="I274" s="75">
        <v>0</v>
      </c>
      <c r="J274" s="74" t="s">
        <v>145</v>
      </c>
      <c r="K274" s="74" t="s">
        <v>146</v>
      </c>
      <c r="L274" s="74" t="s">
        <v>146</v>
      </c>
      <c r="M274" s="74" t="s">
        <v>146</v>
      </c>
      <c r="N274" s="18"/>
    </row>
    <row r="275" spans="1:14" s="17" customFormat="1" ht="15" customHeight="1" x14ac:dyDescent="0.25">
      <c r="A275" s="74" t="s">
        <v>347</v>
      </c>
      <c r="B275" s="74" t="s">
        <v>20</v>
      </c>
      <c r="C275" s="75">
        <v>8809105</v>
      </c>
      <c r="D275" s="76">
        <v>44063</v>
      </c>
      <c r="E275" s="76">
        <v>44067</v>
      </c>
      <c r="F275" s="74" t="s">
        <v>94</v>
      </c>
      <c r="G275" s="75">
        <v>17.322420000000001</v>
      </c>
      <c r="H275" s="75">
        <v>-440000</v>
      </c>
      <c r="I275" s="75">
        <v>0</v>
      </c>
      <c r="J275" s="74" t="s">
        <v>145</v>
      </c>
      <c r="K275" s="74" t="s">
        <v>146</v>
      </c>
      <c r="L275" s="74" t="s">
        <v>146</v>
      </c>
      <c r="M275" s="74" t="s">
        <v>146</v>
      </c>
      <c r="N275" s="18"/>
    </row>
    <row r="276" spans="1:14" s="17" customFormat="1" ht="15" customHeight="1" x14ac:dyDescent="0.25">
      <c r="A276" s="66"/>
      <c r="B276" s="66"/>
      <c r="C276" s="23"/>
      <c r="D276" s="67"/>
      <c r="E276" s="67"/>
      <c r="F276" s="66"/>
      <c r="G276" s="23"/>
      <c r="H276" s="23"/>
      <c r="I276" s="23"/>
      <c r="J276" s="66"/>
      <c r="K276" s="66"/>
      <c r="L276" s="66"/>
      <c r="M276" s="66"/>
      <c r="N276" s="18"/>
    </row>
    <row r="277" spans="1:14" s="17" customFormat="1" ht="15" customHeight="1" x14ac:dyDescent="0.25">
      <c r="A277" s="66"/>
      <c r="B277" s="66"/>
      <c r="C277" s="23"/>
      <c r="D277" s="67"/>
      <c r="E277" s="67"/>
      <c r="F277" s="66"/>
      <c r="G277" s="23"/>
      <c r="H277" s="23"/>
      <c r="I277" s="23"/>
      <c r="J277" s="66"/>
      <c r="K277" s="66"/>
      <c r="L277" s="66"/>
      <c r="M277" s="66"/>
    </row>
    <row r="278" spans="1:14" s="17" customFormat="1" ht="15" customHeight="1" x14ac:dyDescent="0.25">
      <c r="A278" s="66"/>
      <c r="B278" s="66"/>
      <c r="C278" s="23"/>
      <c r="D278" s="67"/>
      <c r="E278" s="67"/>
      <c r="F278" s="66"/>
      <c r="G278" s="23"/>
      <c r="H278" s="23"/>
      <c r="I278" s="23"/>
      <c r="J278" s="66"/>
      <c r="K278" s="66"/>
      <c r="L278" s="66"/>
      <c r="M278" s="66"/>
    </row>
    <row r="279" spans="1:14" s="17" customFormat="1" ht="15" customHeight="1" x14ac:dyDescent="0.25">
      <c r="A279" s="66"/>
      <c r="B279" s="66"/>
      <c r="C279" s="23"/>
      <c r="D279" s="67"/>
      <c r="E279" s="67"/>
      <c r="F279" s="66"/>
      <c r="G279" s="23"/>
      <c r="H279" s="23"/>
      <c r="I279" s="23"/>
      <c r="J279" s="66"/>
      <c r="K279" s="66"/>
      <c r="L279" s="66"/>
      <c r="M279" s="66"/>
    </row>
    <row r="280" spans="1:14" s="17" customFormat="1" ht="15" customHeight="1" x14ac:dyDescent="0.25">
      <c r="A280" s="66"/>
      <c r="B280" s="66"/>
      <c r="C280" s="23"/>
      <c r="D280" s="67"/>
      <c r="E280" s="67"/>
      <c r="F280" s="66"/>
      <c r="G280" s="23"/>
      <c r="H280" s="23"/>
      <c r="I280" s="23"/>
      <c r="J280" s="66"/>
      <c r="K280" s="66"/>
      <c r="L280" s="66"/>
      <c r="M280" s="66"/>
    </row>
    <row r="281" spans="1:14" ht="15" x14ac:dyDescent="0.2">
      <c r="A281" s="66"/>
      <c r="B281" s="66"/>
      <c r="C281" s="23"/>
      <c r="D281" s="67"/>
      <c r="E281" s="67"/>
      <c r="F281" s="66"/>
      <c r="G281" s="23"/>
      <c r="H281" s="23"/>
      <c r="I281" s="23"/>
      <c r="J281" s="66"/>
      <c r="K281" s="66"/>
      <c r="L281" s="66"/>
      <c r="M281" s="66"/>
    </row>
    <row r="282" spans="1:14" ht="15" x14ac:dyDescent="0.2">
      <c r="A282" s="66"/>
      <c r="B282" s="66"/>
      <c r="C282" s="23"/>
      <c r="D282" s="67"/>
      <c r="E282" s="67"/>
      <c r="F282" s="66"/>
      <c r="G282" s="23"/>
      <c r="H282" s="23"/>
      <c r="I282" s="23"/>
      <c r="J282" s="66"/>
      <c r="K282" s="66"/>
      <c r="L282" s="66"/>
      <c r="M282" s="66"/>
    </row>
    <row r="283" spans="1:14" ht="15" x14ac:dyDescent="0.2">
      <c r="A283" s="66"/>
      <c r="B283" s="66"/>
      <c r="C283" s="23"/>
      <c r="D283" s="67"/>
      <c r="E283" s="67"/>
      <c r="F283" s="66"/>
      <c r="G283" s="23"/>
      <c r="H283" s="23"/>
      <c r="I283" s="23"/>
      <c r="J283" s="66"/>
      <c r="K283" s="66"/>
      <c r="L283" s="66"/>
      <c r="M283" s="66"/>
    </row>
    <row r="284" spans="1:14" ht="15" x14ac:dyDescent="0.2">
      <c r="A284" s="66"/>
      <c r="B284" s="66"/>
      <c r="C284" s="23"/>
      <c r="D284" s="67"/>
      <c r="E284" s="67"/>
      <c r="F284" s="66"/>
      <c r="G284" s="23"/>
      <c r="H284" s="23"/>
      <c r="I284" s="23"/>
      <c r="J284" s="66"/>
      <c r="K284" s="66"/>
      <c r="L284" s="66"/>
      <c r="M284" s="66"/>
    </row>
    <row r="285" spans="1:14" ht="15" x14ac:dyDescent="0.2">
      <c r="A285" s="66"/>
      <c r="B285" s="66"/>
      <c r="C285" s="23"/>
      <c r="D285" s="67"/>
      <c r="E285" s="67"/>
      <c r="F285" s="66"/>
      <c r="G285" s="23"/>
      <c r="H285" s="23"/>
      <c r="I285" s="23"/>
      <c r="J285" s="66"/>
      <c r="K285" s="66"/>
      <c r="L285" s="66"/>
      <c r="M285" s="66"/>
    </row>
    <row r="286" spans="1:14" ht="15" x14ac:dyDescent="0.2">
      <c r="A286" s="66"/>
      <c r="B286" s="66"/>
      <c r="C286" s="23"/>
      <c r="D286" s="67"/>
      <c r="E286" s="67"/>
      <c r="F286" s="66"/>
      <c r="G286" s="23"/>
      <c r="H286" s="23"/>
      <c r="I286" s="23"/>
      <c r="J286" s="66"/>
      <c r="K286" s="66"/>
      <c r="L286" s="66"/>
      <c r="M286" s="66"/>
    </row>
    <row r="287" spans="1:14" ht="15" x14ac:dyDescent="0.2">
      <c r="A287" s="66"/>
      <c r="B287" s="66"/>
      <c r="C287" s="23"/>
      <c r="D287" s="67"/>
      <c r="E287" s="67"/>
      <c r="F287" s="66"/>
      <c r="G287" s="23"/>
      <c r="H287" s="23"/>
      <c r="I287" s="23"/>
      <c r="J287" s="66"/>
      <c r="K287" s="66"/>
      <c r="L287" s="66"/>
      <c r="M287" s="66"/>
    </row>
    <row r="288" spans="1:14" ht="15" x14ac:dyDescent="0.2">
      <c r="A288" s="66"/>
      <c r="B288" s="66"/>
      <c r="C288" s="23"/>
      <c r="D288" s="67"/>
      <c r="E288" s="67"/>
      <c r="F288" s="66"/>
      <c r="G288" s="23"/>
      <c r="H288" s="23"/>
      <c r="I288" s="23"/>
      <c r="J288" s="66"/>
      <c r="K288" s="66"/>
      <c r="L288" s="66"/>
      <c r="M288" s="66"/>
    </row>
    <row r="289" spans="1:13" ht="15" x14ac:dyDescent="0.2">
      <c r="A289" s="66"/>
      <c r="B289" s="66"/>
      <c r="C289" s="23"/>
      <c r="D289" s="67"/>
      <c r="E289" s="67"/>
      <c r="F289" s="66"/>
      <c r="G289" s="23"/>
      <c r="H289" s="23"/>
      <c r="I289" s="23"/>
      <c r="J289" s="66"/>
      <c r="K289" s="66"/>
      <c r="L289" s="66"/>
      <c r="M289" s="66"/>
    </row>
    <row r="290" spans="1:13" ht="15" x14ac:dyDescent="0.2">
      <c r="A290" s="66"/>
      <c r="B290" s="66"/>
      <c r="C290" s="23"/>
      <c r="D290" s="67"/>
      <c r="E290" s="67"/>
      <c r="F290" s="66"/>
      <c r="G290" s="23"/>
      <c r="H290" s="23"/>
      <c r="I290" s="23"/>
      <c r="J290" s="66"/>
      <c r="K290" s="66"/>
      <c r="L290" s="66"/>
      <c r="M290" s="66"/>
    </row>
    <row r="291" spans="1:13" ht="15" x14ac:dyDescent="0.2">
      <c r="A291" s="66"/>
      <c r="B291" s="66"/>
      <c r="C291" s="23"/>
      <c r="D291" s="67"/>
      <c r="E291" s="67"/>
      <c r="F291" s="66"/>
      <c r="G291" s="23"/>
      <c r="H291" s="23"/>
      <c r="I291" s="23"/>
      <c r="J291" s="66"/>
      <c r="K291" s="66"/>
      <c r="L291" s="66"/>
      <c r="M291" s="66"/>
    </row>
    <row r="292" spans="1:13" ht="15" x14ac:dyDescent="0.2">
      <c r="A292" s="63"/>
      <c r="B292" s="63"/>
      <c r="C292" s="64"/>
      <c r="D292" s="65"/>
      <c r="E292" s="65"/>
      <c r="F292" s="63"/>
      <c r="G292" s="64"/>
      <c r="H292" s="64"/>
      <c r="I292" s="64"/>
      <c r="J292" s="63"/>
      <c r="K292" s="63"/>
      <c r="L292" s="63"/>
      <c r="M292" s="63"/>
    </row>
    <row r="293" spans="1:13" ht="15" x14ac:dyDescent="0.2">
      <c r="A293" s="63"/>
      <c r="B293" s="63"/>
      <c r="C293" s="64"/>
      <c r="D293" s="65"/>
      <c r="E293" s="65"/>
      <c r="F293" s="63"/>
      <c r="G293" s="64"/>
      <c r="H293" s="64"/>
      <c r="I293" s="64"/>
      <c r="J293" s="63"/>
      <c r="K293" s="63"/>
      <c r="L293" s="63"/>
      <c r="M293" s="63"/>
    </row>
    <row r="294" spans="1:13" ht="15" x14ac:dyDescent="0.2">
      <c r="A294" s="63"/>
      <c r="B294" s="63"/>
      <c r="C294" s="64"/>
      <c r="D294" s="65"/>
      <c r="E294" s="65"/>
      <c r="F294" s="63"/>
      <c r="G294" s="64"/>
      <c r="H294" s="64"/>
      <c r="I294" s="64"/>
      <c r="J294" s="63"/>
      <c r="K294" s="63"/>
      <c r="L294" s="63"/>
      <c r="M294" s="63"/>
    </row>
    <row r="295" spans="1:13" ht="15" x14ac:dyDescent="0.2">
      <c r="A295" s="63"/>
      <c r="B295" s="63"/>
      <c r="C295" s="64"/>
      <c r="D295" s="65"/>
      <c r="E295" s="65"/>
      <c r="F295" s="63"/>
      <c r="G295" s="64"/>
      <c r="H295" s="64"/>
      <c r="I295" s="64"/>
      <c r="J295" s="63"/>
      <c r="K295" s="63"/>
      <c r="L295" s="63"/>
      <c r="M295" s="63"/>
    </row>
    <row r="296" spans="1:13" ht="15" x14ac:dyDescent="0.2">
      <c r="A296" s="63"/>
      <c r="B296" s="63"/>
      <c r="C296" s="64"/>
      <c r="D296" s="65"/>
      <c r="E296" s="65"/>
      <c r="F296" s="63"/>
      <c r="G296" s="64"/>
      <c r="H296" s="64"/>
      <c r="I296" s="64"/>
      <c r="J296" s="63"/>
      <c r="K296" s="63"/>
      <c r="L296" s="63"/>
      <c r="M296" s="63"/>
    </row>
    <row r="297" spans="1:13" ht="15" x14ac:dyDescent="0.2">
      <c r="A297" s="63"/>
      <c r="B297" s="63"/>
      <c r="C297" s="64"/>
      <c r="D297" s="65"/>
      <c r="E297" s="65"/>
      <c r="F297" s="63"/>
      <c r="G297" s="64"/>
      <c r="H297" s="64"/>
      <c r="I297" s="64"/>
      <c r="J297" s="63"/>
      <c r="K297" s="63"/>
      <c r="L297" s="63"/>
      <c r="M297" s="63"/>
    </row>
    <row r="298" spans="1:13" ht="15" x14ac:dyDescent="0.2">
      <c r="A298" s="63"/>
      <c r="B298" s="63"/>
      <c r="C298" s="64"/>
      <c r="D298" s="65"/>
      <c r="E298" s="65"/>
      <c r="F298" s="63"/>
      <c r="G298" s="64"/>
      <c r="H298" s="64"/>
      <c r="I298" s="64"/>
      <c r="J298" s="63"/>
      <c r="K298" s="63"/>
      <c r="L298" s="63"/>
      <c r="M298" s="63"/>
    </row>
    <row r="299" spans="1:13" ht="15" x14ac:dyDescent="0.2">
      <c r="A299" s="63"/>
      <c r="B299" s="63"/>
      <c r="C299" s="64"/>
      <c r="D299" s="65"/>
      <c r="E299" s="65"/>
      <c r="F299" s="63"/>
      <c r="G299" s="64"/>
      <c r="H299" s="64"/>
      <c r="I299" s="64"/>
      <c r="J299" s="63"/>
      <c r="K299" s="63"/>
      <c r="L299" s="63"/>
      <c r="M299" s="63"/>
    </row>
    <row r="300" spans="1:13" ht="15" x14ac:dyDescent="0.2">
      <c r="A300" s="63"/>
      <c r="B300" s="63"/>
      <c r="C300" s="64"/>
      <c r="D300" s="65"/>
      <c r="E300" s="65"/>
      <c r="F300" s="63"/>
      <c r="G300" s="64"/>
      <c r="H300" s="64"/>
      <c r="I300" s="64"/>
      <c r="J300" s="63"/>
      <c r="K300" s="63"/>
      <c r="L300" s="63"/>
      <c r="M300" s="63"/>
    </row>
    <row r="301" spans="1:13" ht="15" x14ac:dyDescent="0.2">
      <c r="A301" s="63"/>
      <c r="B301" s="63"/>
      <c r="C301" s="64"/>
      <c r="D301" s="65"/>
      <c r="E301" s="65"/>
      <c r="F301" s="63"/>
      <c r="G301" s="64"/>
      <c r="H301" s="64"/>
      <c r="I301" s="64"/>
      <c r="J301" s="63"/>
      <c r="K301" s="63"/>
      <c r="L301" s="63"/>
      <c r="M301" s="63"/>
    </row>
    <row r="302" spans="1:13" ht="15" x14ac:dyDescent="0.2">
      <c r="A302" s="63"/>
      <c r="B302" s="63"/>
      <c r="C302" s="64"/>
      <c r="D302" s="65"/>
      <c r="E302" s="65"/>
      <c r="F302" s="63"/>
      <c r="G302" s="64"/>
      <c r="H302" s="64"/>
      <c r="I302" s="64"/>
      <c r="J302" s="63"/>
      <c r="K302" s="63"/>
      <c r="L302" s="63"/>
      <c r="M302" s="63"/>
    </row>
    <row r="303" spans="1:13" ht="15" x14ac:dyDescent="0.2">
      <c r="A303" s="63"/>
      <c r="B303" s="63"/>
      <c r="C303" s="64"/>
      <c r="D303" s="65"/>
      <c r="E303" s="65"/>
      <c r="F303" s="63"/>
      <c r="G303" s="64"/>
      <c r="H303" s="64"/>
      <c r="I303" s="64"/>
      <c r="J303" s="63"/>
      <c r="K303" s="63"/>
      <c r="L303" s="63"/>
      <c r="M303" s="63"/>
    </row>
    <row r="304" spans="1:13" ht="15" x14ac:dyDescent="0.2">
      <c r="A304" s="63"/>
      <c r="B304" s="63"/>
      <c r="C304" s="64"/>
      <c r="D304" s="65"/>
      <c r="E304" s="65"/>
      <c r="F304" s="63"/>
      <c r="G304" s="64"/>
      <c r="H304" s="64"/>
      <c r="I304" s="64"/>
      <c r="J304" s="63"/>
      <c r="K304" s="63"/>
      <c r="L304" s="63"/>
      <c r="M304" s="63"/>
    </row>
    <row r="305" spans="1:13" ht="15" x14ac:dyDescent="0.2">
      <c r="A305" s="63"/>
      <c r="B305" s="63"/>
      <c r="C305" s="64"/>
      <c r="D305" s="65"/>
      <c r="E305" s="65"/>
      <c r="F305" s="63"/>
      <c r="G305" s="64"/>
      <c r="H305" s="64"/>
      <c r="I305" s="64"/>
      <c r="J305" s="63"/>
      <c r="K305" s="63"/>
      <c r="L305" s="63"/>
      <c r="M305" s="63"/>
    </row>
    <row r="306" spans="1:13" ht="15" x14ac:dyDescent="0.2">
      <c r="A306" s="63"/>
      <c r="B306" s="63"/>
      <c r="C306" s="64"/>
      <c r="D306" s="65"/>
      <c r="E306" s="65"/>
      <c r="F306" s="63"/>
      <c r="G306" s="64"/>
      <c r="H306" s="64"/>
      <c r="I306" s="64"/>
      <c r="J306" s="63"/>
      <c r="K306" s="63"/>
      <c r="L306" s="63"/>
      <c r="M306" s="63"/>
    </row>
    <row r="307" spans="1:13" ht="15" x14ac:dyDescent="0.2">
      <c r="A307" s="63"/>
      <c r="B307" s="63"/>
      <c r="C307" s="64"/>
      <c r="D307" s="65"/>
      <c r="E307" s="65"/>
      <c r="F307" s="63"/>
      <c r="G307" s="64"/>
      <c r="H307" s="64"/>
      <c r="I307" s="64"/>
      <c r="J307" s="63"/>
      <c r="K307" s="63"/>
      <c r="L307" s="63"/>
      <c r="M307" s="63"/>
    </row>
    <row r="308" spans="1:13" ht="15" x14ac:dyDescent="0.2">
      <c r="A308" s="63"/>
      <c r="B308" s="63"/>
      <c r="C308" s="64"/>
      <c r="D308" s="65"/>
      <c r="E308" s="65"/>
      <c r="F308" s="63"/>
      <c r="G308" s="64"/>
      <c r="H308" s="64"/>
      <c r="I308" s="64"/>
      <c r="J308" s="63"/>
      <c r="K308" s="63"/>
      <c r="L308" s="63"/>
      <c r="M308" s="63"/>
    </row>
    <row r="309" spans="1:13" ht="15" x14ac:dyDescent="0.2">
      <c r="A309" s="63"/>
      <c r="B309" s="63"/>
      <c r="C309" s="64"/>
      <c r="D309" s="65"/>
      <c r="E309" s="65"/>
      <c r="F309" s="63"/>
      <c r="G309" s="64"/>
      <c r="H309" s="64"/>
      <c r="I309" s="64"/>
      <c r="J309" s="63"/>
      <c r="K309" s="63"/>
      <c r="L309" s="63"/>
      <c r="M309" s="63"/>
    </row>
    <row r="310" spans="1:13" ht="15" x14ac:dyDescent="0.2">
      <c r="A310" s="63"/>
      <c r="B310" s="63"/>
      <c r="C310" s="64"/>
      <c r="D310" s="65"/>
      <c r="E310" s="65"/>
      <c r="F310" s="63"/>
      <c r="G310" s="64"/>
      <c r="H310" s="64"/>
      <c r="I310" s="64"/>
      <c r="J310" s="63"/>
      <c r="K310" s="63"/>
      <c r="L310" s="63"/>
      <c r="M310" s="63"/>
    </row>
    <row r="311" spans="1:13" ht="15" x14ac:dyDescent="0.2">
      <c r="A311" s="63"/>
      <c r="B311" s="63"/>
      <c r="C311" s="64"/>
      <c r="D311" s="65"/>
      <c r="E311" s="65"/>
      <c r="F311" s="63"/>
      <c r="G311" s="64"/>
      <c r="H311" s="64"/>
      <c r="I311" s="64"/>
      <c r="J311" s="63"/>
      <c r="K311" s="63"/>
      <c r="L311" s="63"/>
      <c r="M311" s="63"/>
    </row>
    <row r="312" spans="1:13" ht="15" x14ac:dyDescent="0.2">
      <c r="A312" s="63"/>
      <c r="B312" s="63"/>
      <c r="C312" s="64"/>
      <c r="D312" s="65"/>
      <c r="E312" s="65"/>
      <c r="F312" s="63"/>
      <c r="G312" s="64"/>
      <c r="H312" s="64"/>
      <c r="I312" s="64"/>
      <c r="J312" s="63"/>
      <c r="K312" s="63"/>
      <c r="L312" s="63"/>
      <c r="M312" s="63"/>
    </row>
    <row r="313" spans="1:13" ht="15" x14ac:dyDescent="0.2">
      <c r="A313" s="63"/>
      <c r="B313" s="63"/>
      <c r="C313" s="64"/>
      <c r="D313" s="65"/>
      <c r="E313" s="65"/>
      <c r="F313" s="63"/>
      <c r="G313" s="64"/>
      <c r="H313" s="64"/>
      <c r="I313" s="64"/>
      <c r="J313" s="63"/>
      <c r="K313" s="63"/>
      <c r="L313" s="63"/>
      <c r="M313" s="63"/>
    </row>
    <row r="314" spans="1:13" ht="15" x14ac:dyDescent="0.2">
      <c r="A314" s="63"/>
      <c r="B314" s="63"/>
      <c r="C314" s="64"/>
      <c r="D314" s="65"/>
      <c r="E314" s="65"/>
      <c r="F314" s="63"/>
      <c r="G314" s="64"/>
      <c r="H314" s="64"/>
      <c r="I314" s="64"/>
      <c r="J314" s="63"/>
      <c r="K314" s="63"/>
      <c r="L314" s="63"/>
      <c r="M314" s="63"/>
    </row>
    <row r="315" spans="1:13" ht="15" x14ac:dyDescent="0.2">
      <c r="A315" s="63"/>
      <c r="B315" s="63"/>
      <c r="C315" s="64"/>
      <c r="D315" s="65"/>
      <c r="E315" s="65"/>
      <c r="F315" s="63"/>
      <c r="G315" s="64"/>
      <c r="H315" s="64"/>
      <c r="I315" s="64"/>
      <c r="J315" s="63"/>
      <c r="K315" s="63"/>
      <c r="L315" s="63"/>
      <c r="M315" s="63"/>
    </row>
    <row r="316" spans="1:13" ht="15" x14ac:dyDescent="0.2">
      <c r="A316" s="63"/>
      <c r="B316" s="63"/>
      <c r="C316" s="64"/>
      <c r="D316" s="65"/>
      <c r="E316" s="65"/>
      <c r="F316" s="63"/>
      <c r="G316" s="64"/>
      <c r="H316" s="64"/>
      <c r="I316" s="64"/>
      <c r="J316" s="63"/>
      <c r="K316" s="63"/>
      <c r="L316" s="63"/>
      <c r="M316" s="63"/>
    </row>
    <row r="317" spans="1:13" ht="15" x14ac:dyDescent="0.2">
      <c r="A317" s="63"/>
      <c r="B317" s="63"/>
      <c r="C317" s="64"/>
      <c r="D317" s="65"/>
      <c r="E317" s="65"/>
      <c r="F317" s="63"/>
      <c r="G317" s="64"/>
      <c r="H317" s="64"/>
      <c r="I317" s="64"/>
      <c r="J317" s="63"/>
      <c r="K317" s="63"/>
      <c r="L317" s="63"/>
      <c r="M317" s="63"/>
    </row>
    <row r="318" spans="1:13" ht="15" x14ac:dyDescent="0.2">
      <c r="A318" s="63"/>
      <c r="B318" s="63"/>
      <c r="C318" s="64"/>
      <c r="D318" s="65"/>
      <c r="E318" s="65"/>
      <c r="F318" s="63"/>
      <c r="G318" s="64"/>
      <c r="H318" s="64"/>
      <c r="I318" s="64"/>
      <c r="J318" s="63"/>
      <c r="K318" s="63"/>
      <c r="L318" s="63"/>
      <c r="M318" s="63"/>
    </row>
    <row r="319" spans="1:13" ht="15" x14ac:dyDescent="0.2">
      <c r="A319" s="63"/>
      <c r="B319" s="63"/>
      <c r="C319" s="64"/>
      <c r="D319" s="65"/>
      <c r="E319" s="65"/>
      <c r="F319" s="63"/>
      <c r="G319" s="64"/>
      <c r="H319" s="64"/>
      <c r="I319" s="64"/>
      <c r="J319" s="63"/>
      <c r="K319" s="63"/>
      <c r="L319" s="63"/>
      <c r="M319" s="63"/>
    </row>
    <row r="320" spans="1:13" ht="15" x14ac:dyDescent="0.2">
      <c r="A320" s="63"/>
      <c r="B320" s="63"/>
      <c r="C320" s="64"/>
      <c r="D320" s="65"/>
      <c r="E320" s="65"/>
      <c r="F320" s="63"/>
      <c r="G320" s="64"/>
      <c r="H320" s="64"/>
      <c r="I320" s="64"/>
      <c r="J320" s="63"/>
      <c r="K320" s="63"/>
      <c r="L320" s="63"/>
      <c r="M320" s="63"/>
    </row>
    <row r="321" spans="1:13" ht="15" x14ac:dyDescent="0.2">
      <c r="A321" s="63"/>
      <c r="B321" s="63"/>
      <c r="C321" s="64"/>
      <c r="D321" s="65"/>
      <c r="E321" s="65"/>
      <c r="F321" s="63"/>
      <c r="G321" s="64"/>
      <c r="H321" s="64"/>
      <c r="I321" s="64"/>
      <c r="J321" s="63"/>
      <c r="K321" s="63"/>
      <c r="L321" s="63"/>
      <c r="M321" s="63"/>
    </row>
    <row r="322" spans="1:13" ht="15" x14ac:dyDescent="0.2">
      <c r="A322" s="63"/>
      <c r="B322" s="63"/>
      <c r="C322" s="64"/>
      <c r="D322" s="65"/>
      <c r="E322" s="65"/>
      <c r="F322" s="63"/>
      <c r="G322" s="64"/>
      <c r="H322" s="64"/>
      <c r="I322" s="64"/>
      <c r="J322" s="63"/>
      <c r="K322" s="63"/>
      <c r="L322" s="63"/>
      <c r="M322" s="63"/>
    </row>
    <row r="323" spans="1:13" ht="15" x14ac:dyDescent="0.2">
      <c r="A323" s="63"/>
      <c r="B323" s="63"/>
      <c r="C323" s="64"/>
      <c r="D323" s="65"/>
      <c r="E323" s="65"/>
      <c r="F323" s="63"/>
      <c r="G323" s="64"/>
      <c r="H323" s="64"/>
      <c r="I323" s="64"/>
      <c r="J323" s="63"/>
      <c r="K323" s="63"/>
      <c r="L323" s="63"/>
      <c r="M323" s="63"/>
    </row>
    <row r="324" spans="1:13" ht="15" x14ac:dyDescent="0.2">
      <c r="A324" s="63"/>
      <c r="B324" s="63"/>
      <c r="C324" s="64"/>
      <c r="D324" s="65"/>
      <c r="E324" s="65"/>
      <c r="F324" s="63"/>
      <c r="G324" s="64"/>
      <c r="H324" s="64"/>
      <c r="I324" s="64"/>
      <c r="J324" s="63"/>
      <c r="K324" s="63"/>
      <c r="L324" s="63"/>
      <c r="M324" s="63"/>
    </row>
    <row r="325" spans="1:13" ht="15" x14ac:dyDescent="0.2">
      <c r="A325" s="63"/>
      <c r="B325" s="63"/>
      <c r="C325" s="64"/>
      <c r="D325" s="65"/>
      <c r="E325" s="65"/>
      <c r="F325" s="63"/>
      <c r="G325" s="64"/>
      <c r="H325" s="64"/>
      <c r="I325" s="64"/>
      <c r="J325" s="63"/>
      <c r="K325" s="63"/>
      <c r="L325" s="63"/>
      <c r="M325" s="63"/>
    </row>
  </sheetData>
  <conditionalFormatting sqref="C1 C261:C1048576">
    <cfRule type="duplicateValues" dxfId="7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3:F21"/>
  <sheetViews>
    <sheetView workbookViewId="0">
      <selection activeCell="E1" sqref="E1:F1048576"/>
    </sheetView>
  </sheetViews>
  <sheetFormatPr defaultRowHeight="15" x14ac:dyDescent="0.25"/>
  <cols>
    <col min="2" max="2" width="13.140625" bestFit="1" customWidth="1"/>
    <col min="3" max="3" width="15.28515625" style="19" customWidth="1"/>
    <col min="5" max="5" width="13.140625" style="12" bestFit="1" customWidth="1"/>
    <col min="6" max="6" width="15.28515625" style="69" customWidth="1"/>
  </cols>
  <sheetData>
    <row r="3" spans="2:6" x14ac:dyDescent="0.25">
      <c r="B3" s="1" t="s">
        <v>29</v>
      </c>
      <c r="C3" t="s">
        <v>36</v>
      </c>
      <c r="E3" s="12" t="s">
        <v>29</v>
      </c>
      <c r="F3" s="69" t="s">
        <v>36</v>
      </c>
    </row>
    <row r="4" spans="2:6" x14ac:dyDescent="0.25">
      <c r="B4" s="2" t="s">
        <v>21</v>
      </c>
      <c r="C4" s="59">
        <v>-8000</v>
      </c>
      <c r="E4" s="13" t="s">
        <v>21</v>
      </c>
      <c r="F4" s="69">
        <v>-8000</v>
      </c>
    </row>
    <row r="5" spans="2:6" x14ac:dyDescent="0.25">
      <c r="B5" s="2" t="s">
        <v>23</v>
      </c>
      <c r="C5" s="59">
        <v>-20000</v>
      </c>
      <c r="E5" s="13" t="s">
        <v>23</v>
      </c>
      <c r="F5" s="69">
        <v>-20000</v>
      </c>
    </row>
    <row r="6" spans="2:6" x14ac:dyDescent="0.25">
      <c r="B6" s="2" t="s">
        <v>22</v>
      </c>
      <c r="C6" s="59">
        <v>25853665.840000004</v>
      </c>
      <c r="E6" s="13" t="s">
        <v>22</v>
      </c>
      <c r="F6" s="69">
        <v>25853665.840000004</v>
      </c>
    </row>
    <row r="7" spans="2:6" x14ac:dyDescent="0.25">
      <c r="B7" s="2" t="s">
        <v>25</v>
      </c>
      <c r="C7" s="59">
        <v>-9910142.9499999993</v>
      </c>
      <c r="E7" s="13" t="s">
        <v>25</v>
      </c>
      <c r="F7" s="69">
        <v>-9910142.9499999993</v>
      </c>
    </row>
    <row r="8" spans="2:6" x14ac:dyDescent="0.25">
      <c r="B8" s="2" t="s">
        <v>27</v>
      </c>
      <c r="C8" s="59">
        <v>987000</v>
      </c>
      <c r="E8" s="13" t="s">
        <v>27</v>
      </c>
      <c r="F8" s="69">
        <v>987000</v>
      </c>
    </row>
    <row r="9" spans="2:6" x14ac:dyDescent="0.25">
      <c r="B9" s="2" t="s">
        <v>16</v>
      </c>
      <c r="C9" s="59">
        <v>73940300.599999994</v>
      </c>
      <c r="E9" s="13" t="s">
        <v>16</v>
      </c>
      <c r="F9" s="69">
        <v>73940300.599999994</v>
      </c>
    </row>
    <row r="10" spans="2:6" x14ac:dyDescent="0.25">
      <c r="B10" s="2" t="s">
        <v>24</v>
      </c>
      <c r="C10" s="59">
        <v>-8135.25</v>
      </c>
      <c r="E10" s="13" t="s">
        <v>24</v>
      </c>
      <c r="F10" s="69">
        <v>-8135.25</v>
      </c>
    </row>
    <row r="11" spans="2:6" x14ac:dyDescent="0.25">
      <c r="B11" s="2" t="s">
        <v>17</v>
      </c>
      <c r="C11" s="59">
        <v>-10427750</v>
      </c>
      <c r="E11" s="13" t="s">
        <v>17</v>
      </c>
      <c r="F11" s="69">
        <v>-10427750</v>
      </c>
    </row>
    <row r="12" spans="2:6" x14ac:dyDescent="0.25">
      <c r="B12" s="2" t="s">
        <v>20</v>
      </c>
      <c r="C12" s="59">
        <v>289854.1799999997</v>
      </c>
      <c r="E12" s="13" t="s">
        <v>20</v>
      </c>
      <c r="F12" s="69">
        <v>289854.1799999997</v>
      </c>
    </row>
    <row r="13" spans="2:6" x14ac:dyDescent="0.25">
      <c r="B13" s="2" t="s">
        <v>30</v>
      </c>
      <c r="C13" s="59"/>
      <c r="E13" s="13" t="s">
        <v>30</v>
      </c>
    </row>
    <row r="14" spans="2:6" x14ac:dyDescent="0.25">
      <c r="B14" s="2" t="s">
        <v>44</v>
      </c>
      <c r="C14" s="59">
        <v>10747</v>
      </c>
      <c r="E14" s="13" t="s">
        <v>44</v>
      </c>
      <c r="F14" s="69">
        <v>10747</v>
      </c>
    </row>
    <row r="15" spans="2:6" x14ac:dyDescent="0.25">
      <c r="B15" s="2" t="s">
        <v>19</v>
      </c>
      <c r="C15" s="59">
        <v>1000000</v>
      </c>
      <c r="E15" s="13" t="s">
        <v>19</v>
      </c>
      <c r="F15" s="69">
        <v>1000000</v>
      </c>
    </row>
    <row r="16" spans="2:6" x14ac:dyDescent="0.25">
      <c r="B16" s="2" t="s">
        <v>45</v>
      </c>
      <c r="C16" s="59">
        <v>2000000</v>
      </c>
      <c r="E16" s="12" t="s">
        <v>45</v>
      </c>
      <c r="F16" s="69">
        <v>2000000</v>
      </c>
    </row>
    <row r="17" spans="2:6" x14ac:dyDescent="0.25">
      <c r="B17" s="2" t="s">
        <v>28</v>
      </c>
      <c r="C17" s="59">
        <v>-208000</v>
      </c>
      <c r="E17" s="12" t="s">
        <v>28</v>
      </c>
      <c r="F17" s="69">
        <v>-208000</v>
      </c>
    </row>
    <row r="18" spans="2:6" x14ac:dyDescent="0.25">
      <c r="B18" s="2" t="s">
        <v>55</v>
      </c>
      <c r="C18" s="59">
        <v>60000</v>
      </c>
      <c r="E18" s="12" t="s">
        <v>55</v>
      </c>
      <c r="F18" s="69">
        <v>60000</v>
      </c>
    </row>
    <row r="19" spans="2:6" x14ac:dyDescent="0.25">
      <c r="B19" s="2" t="s">
        <v>31</v>
      </c>
      <c r="C19" s="59">
        <v>83559539.419999987</v>
      </c>
      <c r="E19" s="12" t="s">
        <v>31</v>
      </c>
      <c r="F19" s="69">
        <v>83559539.419999987</v>
      </c>
    </row>
    <row r="20" spans="2:6" x14ac:dyDescent="0.25">
      <c r="C20"/>
    </row>
    <row r="21" spans="2:6" x14ac:dyDescent="0.25">
      <c r="C21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3" workbookViewId="0">
      <selection activeCell="H39" sqref="H39"/>
    </sheetView>
  </sheetViews>
  <sheetFormatPr defaultRowHeight="15" x14ac:dyDescent="0.25"/>
  <cols>
    <col min="1" max="1" width="8.85546875" bestFit="1" customWidth="1"/>
    <col min="2" max="2" width="19.5703125" customWidth="1"/>
    <col min="3" max="3" width="17.85546875" customWidth="1"/>
    <col min="4" max="4" width="15.85546875" customWidth="1"/>
    <col min="5" max="5" width="12.42578125" customWidth="1"/>
    <col min="12" max="12" width="13.28515625" bestFit="1" customWidth="1"/>
  </cols>
  <sheetData>
    <row r="1" spans="1:12" ht="15.75" thickBot="1" x14ac:dyDescent="0.3">
      <c r="A1" s="4"/>
    </row>
    <row r="2" spans="1:12" ht="30.75" thickBot="1" x14ac:dyDescent="0.3">
      <c r="A2" s="5" t="s">
        <v>37</v>
      </c>
      <c r="B2" s="6" t="s">
        <v>38</v>
      </c>
      <c r="C2" s="6" t="s">
        <v>39</v>
      </c>
      <c r="D2" s="7" t="s">
        <v>40</v>
      </c>
      <c r="E2" s="7" t="s">
        <v>41</v>
      </c>
    </row>
    <row r="3" spans="1:12" ht="15.75" thickBot="1" x14ac:dyDescent="0.3">
      <c r="A3" s="8" t="s">
        <v>21</v>
      </c>
      <c r="B3" s="10">
        <f>VLOOKUP(A3,'PIVOT FA LIVE'!E:F,2,0)</f>
        <v>-8000</v>
      </c>
      <c r="C3" s="10">
        <f>VLOOKUP(A3,'pivot FX DEALS OUT'!L:M,2,0)</f>
        <v>8000</v>
      </c>
      <c r="D3" s="10">
        <f>B3+C3</f>
        <v>0</v>
      </c>
      <c r="E3" s="11"/>
    </row>
    <row r="4" spans="1:12" ht="15.75" thickBot="1" x14ac:dyDescent="0.3">
      <c r="A4" s="8" t="s">
        <v>19</v>
      </c>
      <c r="B4" s="10">
        <f>VLOOKUP(A4,'PIVOT FA LIVE'!E:F,2,0)</f>
        <v>1000000</v>
      </c>
      <c r="C4" s="10">
        <f>VLOOKUP(A4,'pivot FX DEALS OUT'!L:M,2,0)</f>
        <v>-1000000</v>
      </c>
      <c r="D4" s="10">
        <f t="shared" ref="D4:D32" si="0">B4+C4</f>
        <v>0</v>
      </c>
      <c r="E4" s="11"/>
    </row>
    <row r="5" spans="1:12" ht="15.75" thickBot="1" x14ac:dyDescent="0.3">
      <c r="A5" s="8" t="s">
        <v>42</v>
      </c>
      <c r="B5" s="10" t="e">
        <f>VLOOKUP(A5,'PIVOT FA LIVE'!E:F,2,0)</f>
        <v>#N/A</v>
      </c>
      <c r="C5" s="10" t="e">
        <f>VLOOKUP(A5,'pivot FX DEALS OUT'!L:M,2,0)</f>
        <v>#N/A</v>
      </c>
      <c r="D5" s="10" t="e">
        <f t="shared" si="0"/>
        <v>#N/A</v>
      </c>
      <c r="E5" s="11"/>
    </row>
    <row r="6" spans="1:12" ht="15.75" thickBot="1" x14ac:dyDescent="0.3">
      <c r="A6" s="8" t="s">
        <v>43</v>
      </c>
      <c r="B6" s="10" t="e">
        <f>VLOOKUP(A6,'PIVOT FA LIVE'!E:F,2,0)</f>
        <v>#N/A</v>
      </c>
      <c r="C6" s="10" t="e">
        <f>VLOOKUP(A6,'pivot FX DEALS OUT'!L:M,2,0)</f>
        <v>#N/A</v>
      </c>
      <c r="D6" s="10" t="e">
        <f t="shared" si="0"/>
        <v>#N/A</v>
      </c>
      <c r="E6" s="11"/>
    </row>
    <row r="7" spans="1:12" ht="15.75" thickBot="1" x14ac:dyDescent="0.3">
      <c r="A7" s="8" t="s">
        <v>23</v>
      </c>
      <c r="B7" s="10">
        <f>VLOOKUP(A7,'PIVOT FA LIVE'!E:F,2,0)</f>
        <v>-20000</v>
      </c>
      <c r="C7" s="10">
        <f>VLOOKUP(A7,'pivot FX DEALS OUT'!L:M,2,0)</f>
        <v>20000</v>
      </c>
      <c r="D7" s="10">
        <f t="shared" si="0"/>
        <v>0</v>
      </c>
      <c r="E7" s="11"/>
      <c r="K7" s="14"/>
      <c r="L7" s="15"/>
    </row>
    <row r="8" spans="1:12" ht="15.75" thickBot="1" x14ac:dyDescent="0.3">
      <c r="A8" s="8" t="s">
        <v>44</v>
      </c>
      <c r="B8" s="10">
        <f>VLOOKUP(A8,'PIVOT FA LIVE'!E:F,2,0)</f>
        <v>10747</v>
      </c>
      <c r="C8" s="10">
        <f>VLOOKUP(A8,'pivot FX DEALS OUT'!L:M,2,0)</f>
        <v>-10747</v>
      </c>
      <c r="D8" s="10">
        <f t="shared" si="0"/>
        <v>0</v>
      </c>
      <c r="E8" s="11"/>
      <c r="K8" s="14"/>
      <c r="L8" s="15"/>
    </row>
    <row r="9" spans="1:12" ht="15.75" thickBot="1" x14ac:dyDescent="0.3">
      <c r="A9" s="8" t="s">
        <v>45</v>
      </c>
      <c r="B9" s="10">
        <f>VLOOKUP(A9,'PIVOT FA LIVE'!E:F,2,0)</f>
        <v>2000000</v>
      </c>
      <c r="C9" s="10">
        <f>VLOOKUP(A9,'pivot FX DEALS OUT'!L:M,2,0)</f>
        <v>-2000000</v>
      </c>
      <c r="D9" s="10">
        <f t="shared" si="0"/>
        <v>0</v>
      </c>
      <c r="E9" s="11"/>
    </row>
    <row r="10" spans="1:12" ht="15.75" thickBot="1" x14ac:dyDescent="0.3">
      <c r="A10" s="8" t="s">
        <v>46</v>
      </c>
      <c r="B10" s="10" t="e">
        <f>VLOOKUP(A10,'PIVOT FA LIVE'!E:F,2,0)</f>
        <v>#N/A</v>
      </c>
      <c r="C10" s="10" t="e">
        <f>VLOOKUP(A10,'pivot FX DEALS OUT'!L:M,2,0)</f>
        <v>#N/A</v>
      </c>
      <c r="D10" s="10" t="e">
        <f t="shared" si="0"/>
        <v>#N/A</v>
      </c>
      <c r="E10" s="11"/>
    </row>
    <row r="11" spans="1:12" ht="15.75" thickBot="1" x14ac:dyDescent="0.3">
      <c r="A11" s="8" t="s">
        <v>22</v>
      </c>
      <c r="B11" s="10">
        <f>VLOOKUP(A11,'PIVOT FA LIVE'!E:F,2,0)</f>
        <v>25853665.840000004</v>
      </c>
      <c r="C11" s="10">
        <f>VLOOKUP(A11,'pivot FX DEALS OUT'!L:M,2,0)</f>
        <v>-25853665.839999981</v>
      </c>
      <c r="D11" s="10">
        <f>B11+C11</f>
        <v>0</v>
      </c>
      <c r="E11" s="11"/>
    </row>
    <row r="12" spans="1:12" ht="15.75" thickBot="1" x14ac:dyDescent="0.3">
      <c r="A12" s="8" t="s">
        <v>25</v>
      </c>
      <c r="B12" s="10">
        <f>VLOOKUP(A12,'PIVOT FA LIVE'!E:F,2,0)</f>
        <v>-9910142.9499999993</v>
      </c>
      <c r="C12" s="10">
        <f>VLOOKUP(A12,'pivot FX DEALS OUT'!L:M,2,0)</f>
        <v>9910142.9499999993</v>
      </c>
      <c r="D12" s="10">
        <f t="shared" si="0"/>
        <v>0</v>
      </c>
      <c r="E12" s="11"/>
    </row>
    <row r="13" spans="1:12" ht="15.75" thickBot="1" x14ac:dyDescent="0.3">
      <c r="A13" s="8" t="s">
        <v>47</v>
      </c>
      <c r="B13" s="10" t="e">
        <f>VLOOKUP(A13,'PIVOT FA LIVE'!E:F,2,0)</f>
        <v>#N/A</v>
      </c>
      <c r="C13" s="10" t="e">
        <f>VLOOKUP(A13,'pivot FX DEALS OUT'!L:M,2,0)</f>
        <v>#N/A</v>
      </c>
      <c r="D13" s="10" t="e">
        <f t="shared" si="0"/>
        <v>#N/A</v>
      </c>
      <c r="E13" s="11"/>
    </row>
    <row r="14" spans="1:12" ht="15.75" thickBot="1" x14ac:dyDescent="0.3">
      <c r="A14" s="8" t="s">
        <v>27</v>
      </c>
      <c r="B14" s="10">
        <f>VLOOKUP(A14,'PIVOT FA LIVE'!E:F,2,0)</f>
        <v>987000</v>
      </c>
      <c r="C14" s="10">
        <f>VLOOKUP(A14,'pivot FX DEALS OUT'!L:M,2,0)</f>
        <v>-987000</v>
      </c>
      <c r="D14" s="10">
        <f t="shared" si="0"/>
        <v>0</v>
      </c>
      <c r="E14" s="11"/>
    </row>
    <row r="15" spans="1:12" ht="15.75" thickBot="1" x14ac:dyDescent="0.3">
      <c r="A15" s="8" t="s">
        <v>48</v>
      </c>
      <c r="B15" s="10" t="e">
        <f>VLOOKUP(A15,'PIVOT FA LIVE'!E:F,2,0)</f>
        <v>#N/A</v>
      </c>
      <c r="C15" s="10" t="e">
        <f>VLOOKUP(A15,'pivot FX DEALS OUT'!L:M,2,0)</f>
        <v>#N/A</v>
      </c>
      <c r="D15" s="10" t="e">
        <f t="shared" si="0"/>
        <v>#N/A</v>
      </c>
      <c r="E15" s="11"/>
    </row>
    <row r="16" spans="1:12" ht="21.75" customHeight="1" thickBot="1" x14ac:dyDescent="0.3">
      <c r="A16" s="8" t="s">
        <v>16</v>
      </c>
      <c r="B16" s="10">
        <f>VLOOKUP(A16,'PIVOT FA LIVE'!E:F,2,0)</f>
        <v>73940300.599999994</v>
      </c>
      <c r="C16" s="10">
        <f>VLOOKUP(A16,'pivot FX DEALS OUT'!L:M,2,0)</f>
        <v>-73940300.599999994</v>
      </c>
      <c r="D16" s="10">
        <f>B16+C16</f>
        <v>0</v>
      </c>
      <c r="E16" s="16"/>
    </row>
    <row r="17" spans="1:5" ht="15.75" thickBot="1" x14ac:dyDescent="0.3">
      <c r="A17" s="8" t="s">
        <v>49</v>
      </c>
      <c r="B17" s="10" t="e">
        <f>VLOOKUP(A17,'PIVOT FA LIVE'!E:F,2,0)</f>
        <v>#N/A</v>
      </c>
      <c r="C17" s="10" t="e">
        <f>VLOOKUP(A17,'pivot FX DEALS OUT'!L:M,2,0)</f>
        <v>#N/A</v>
      </c>
      <c r="D17" s="10" t="e">
        <f t="shared" si="0"/>
        <v>#N/A</v>
      </c>
      <c r="E17" s="11"/>
    </row>
    <row r="18" spans="1:5" ht="15.75" thickBot="1" x14ac:dyDescent="0.3">
      <c r="A18" s="8" t="s">
        <v>50</v>
      </c>
      <c r="B18" s="10" t="e">
        <f>VLOOKUP(A18,'PIVOT FA LIVE'!E:F,2,0)</f>
        <v>#N/A</v>
      </c>
      <c r="C18" s="10" t="e">
        <f>VLOOKUP(A18,'pivot FX DEALS OUT'!L:M,2,0)</f>
        <v>#N/A</v>
      </c>
      <c r="D18" s="10" t="e">
        <f t="shared" si="0"/>
        <v>#N/A</v>
      </c>
      <c r="E18" s="11"/>
    </row>
    <row r="19" spans="1:5" ht="15.75" thickBot="1" x14ac:dyDescent="0.3">
      <c r="A19" s="8" t="s">
        <v>51</v>
      </c>
      <c r="B19" s="10" t="e">
        <f>VLOOKUP(A19,'PIVOT FA LIVE'!E:F,2,0)</f>
        <v>#N/A</v>
      </c>
      <c r="C19" s="10" t="e">
        <f>VLOOKUP(A19,'pivot FX DEALS OUT'!L:M,2,0)</f>
        <v>#N/A</v>
      </c>
      <c r="D19" s="10" t="e">
        <f t="shared" si="0"/>
        <v>#N/A</v>
      </c>
      <c r="E19" s="11"/>
    </row>
    <row r="20" spans="1:5" ht="15.75" thickBot="1" x14ac:dyDescent="0.3">
      <c r="A20" s="8" t="s">
        <v>52</v>
      </c>
      <c r="B20" s="10" t="e">
        <f>VLOOKUP(A20,'PIVOT FA LIVE'!E:F,2,0)</f>
        <v>#N/A</v>
      </c>
      <c r="C20" s="10" t="e">
        <f>VLOOKUP(A20,'pivot FX DEALS OUT'!L:M,2,0)</f>
        <v>#N/A</v>
      </c>
      <c r="D20" s="10" t="e">
        <f t="shared" si="0"/>
        <v>#N/A</v>
      </c>
      <c r="E20" s="11"/>
    </row>
    <row r="21" spans="1:5" ht="15.75" thickBot="1" x14ac:dyDescent="0.3">
      <c r="A21" s="8" t="s">
        <v>53</v>
      </c>
      <c r="B21" s="10" t="e">
        <f>VLOOKUP(A21,'PIVOT FA LIVE'!E:F,2,0)</f>
        <v>#N/A</v>
      </c>
      <c r="C21" s="10" t="e">
        <f>VLOOKUP(A21,'pivot FX DEALS OUT'!L:M,2,0)</f>
        <v>#N/A</v>
      </c>
      <c r="D21" s="10" t="e">
        <f t="shared" si="0"/>
        <v>#N/A</v>
      </c>
      <c r="E21" s="11"/>
    </row>
    <row r="22" spans="1:5" ht="15.75" thickBot="1" x14ac:dyDescent="0.3">
      <c r="A22" s="8" t="s">
        <v>26</v>
      </c>
      <c r="B22" s="10" t="e">
        <f>VLOOKUP(A22,'PIVOT FA LIVE'!E:F,2,0)</f>
        <v>#N/A</v>
      </c>
      <c r="C22" s="10" t="e">
        <f>VLOOKUP(A22,'pivot FX DEALS OUT'!L:M,2,0)</f>
        <v>#N/A</v>
      </c>
      <c r="D22" s="10" t="e">
        <f t="shared" si="0"/>
        <v>#N/A</v>
      </c>
      <c r="E22" s="11"/>
    </row>
    <row r="23" spans="1:5" ht="15.75" thickBot="1" x14ac:dyDescent="0.3">
      <c r="A23" s="8" t="s">
        <v>54</v>
      </c>
      <c r="B23" s="10" t="e">
        <f>VLOOKUP(A23,'PIVOT FA LIVE'!E:F,2,0)</f>
        <v>#N/A</v>
      </c>
      <c r="C23" s="10" t="e">
        <f>VLOOKUP(A23,'pivot FX DEALS OUT'!L:M,2,0)</f>
        <v>#N/A</v>
      </c>
      <c r="D23" s="10" t="e">
        <f t="shared" si="0"/>
        <v>#N/A</v>
      </c>
      <c r="E23" s="11"/>
    </row>
    <row r="24" spans="1:5" ht="15.75" thickBot="1" x14ac:dyDescent="0.3">
      <c r="A24" s="8" t="s">
        <v>28</v>
      </c>
      <c r="B24" s="10">
        <f>VLOOKUP(A24,'PIVOT FA LIVE'!E:F,2,0)</f>
        <v>-208000</v>
      </c>
      <c r="C24" s="10">
        <f>VLOOKUP(A24,'pivot FX DEALS OUT'!L:M,2,0)</f>
        <v>208000</v>
      </c>
      <c r="D24" s="10">
        <f t="shared" si="0"/>
        <v>0</v>
      </c>
      <c r="E24" s="11"/>
    </row>
    <row r="25" spans="1:5" ht="15.75" thickBot="1" x14ac:dyDescent="0.3">
      <c r="A25" s="8" t="s">
        <v>55</v>
      </c>
      <c r="B25" s="10">
        <f>VLOOKUP(A25,'PIVOT FA LIVE'!E:F,2,0)</f>
        <v>60000</v>
      </c>
      <c r="C25" s="10">
        <f>VLOOKUP(A25,'pivot FX DEALS OUT'!L:M,2,0)</f>
        <v>-60000</v>
      </c>
      <c r="D25" s="10">
        <f t="shared" si="0"/>
        <v>0</v>
      </c>
      <c r="E25" s="11"/>
    </row>
    <row r="26" spans="1:5" ht="15.75" thickBot="1" x14ac:dyDescent="0.3">
      <c r="A26" s="8" t="s">
        <v>24</v>
      </c>
      <c r="B26" s="10">
        <f>VLOOKUP(A26,'PIVOT FA LIVE'!E:F,2,0)</f>
        <v>-8135.25</v>
      </c>
      <c r="C26" s="10">
        <f>VLOOKUP(A26,'pivot FX DEALS OUT'!L:M,2,0)</f>
        <v>8135.25</v>
      </c>
      <c r="D26" s="10">
        <f t="shared" si="0"/>
        <v>0</v>
      </c>
      <c r="E26" s="11"/>
    </row>
    <row r="27" spans="1:5" ht="15.75" thickBot="1" x14ac:dyDescent="0.3">
      <c r="A27" s="8" t="s">
        <v>56</v>
      </c>
      <c r="B27" s="10" t="e">
        <f>VLOOKUP(A27,'PIVOT FA LIVE'!E:F,2,0)</f>
        <v>#N/A</v>
      </c>
      <c r="C27" s="10" t="e">
        <f>VLOOKUP(A27,'pivot FX DEALS OUT'!L:M,2,0)</f>
        <v>#N/A</v>
      </c>
      <c r="D27" s="10" t="e">
        <f t="shared" si="0"/>
        <v>#N/A</v>
      </c>
      <c r="E27" s="11"/>
    </row>
    <row r="28" spans="1:5" ht="15.75" thickBot="1" x14ac:dyDescent="0.3">
      <c r="A28" s="8" t="s">
        <v>57</v>
      </c>
      <c r="B28" s="10" t="e">
        <f>VLOOKUP(A28,'PIVOT FA LIVE'!E:F,2,0)</f>
        <v>#N/A</v>
      </c>
      <c r="C28" s="10" t="e">
        <f>VLOOKUP(A28,'pivot FX DEALS OUT'!L:M,2,0)</f>
        <v>#N/A</v>
      </c>
      <c r="D28" s="10" t="e">
        <f t="shared" si="0"/>
        <v>#N/A</v>
      </c>
      <c r="E28" s="11"/>
    </row>
    <row r="29" spans="1:5" ht="15.75" thickBot="1" x14ac:dyDescent="0.3">
      <c r="A29" s="8" t="s">
        <v>58</v>
      </c>
      <c r="B29" s="10" t="e">
        <f>VLOOKUP(A29,'PIVOT FA LIVE'!E:F,2,0)</f>
        <v>#N/A</v>
      </c>
      <c r="C29" s="10" t="e">
        <f>VLOOKUP(A29,'pivot FX DEALS OUT'!L:M,2,0)</f>
        <v>#N/A</v>
      </c>
      <c r="D29" s="10" t="e">
        <f t="shared" si="0"/>
        <v>#N/A</v>
      </c>
      <c r="E29" s="11"/>
    </row>
    <row r="30" spans="1:5" ht="15.75" thickBot="1" x14ac:dyDescent="0.3">
      <c r="A30" s="8" t="s">
        <v>17</v>
      </c>
      <c r="B30" s="10">
        <f>VLOOKUP(A30,'PIVOT FA LIVE'!E:F,2,0)</f>
        <v>-10427750</v>
      </c>
      <c r="C30" s="10">
        <f>VLOOKUP(A30,'pivot FX DEALS OUT'!L:M,2,0)</f>
        <v>10427749.999999993</v>
      </c>
      <c r="D30" s="10">
        <f>B30+C30</f>
        <v>0</v>
      </c>
      <c r="E30" s="11"/>
    </row>
    <row r="31" spans="1:5" ht="15.75" thickBot="1" x14ac:dyDescent="0.3">
      <c r="A31" s="8" t="s">
        <v>20</v>
      </c>
      <c r="B31" s="10">
        <f>VLOOKUP(A31,'PIVOT FA LIVE'!E:F,2,0)</f>
        <v>289854.1799999997</v>
      </c>
      <c r="C31" s="10">
        <f>VLOOKUP(A31,'pivot FX DEALS OUT'!L:M,2,0)</f>
        <v>-289854.18000000017</v>
      </c>
      <c r="D31" s="10">
        <f t="shared" si="0"/>
        <v>-4.6566128730773926E-10</v>
      </c>
      <c r="E31" s="11"/>
    </row>
    <row r="32" spans="1:5" ht="15.75" thickBot="1" x14ac:dyDescent="0.3">
      <c r="A32" s="9" t="s">
        <v>59</v>
      </c>
      <c r="B32" s="10" t="e">
        <f>VLOOKUP(A32,'PIVOT FA LIVE'!E:F,2,0)</f>
        <v>#N/A</v>
      </c>
      <c r="C32" s="10" t="e">
        <f>VLOOKUP(A32,'pivot FX DEALS OUT'!L:M,2,0)</f>
        <v>#N/A</v>
      </c>
      <c r="D32" s="10" t="e">
        <f t="shared" si="0"/>
        <v>#N/A</v>
      </c>
      <c r="E32" s="1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9"/>
  <sheetViews>
    <sheetView zoomScale="85" zoomScaleNormal="85" workbookViewId="0">
      <selection activeCell="J104" sqref="J104"/>
    </sheetView>
  </sheetViews>
  <sheetFormatPr defaultRowHeight="15" x14ac:dyDescent="0.25"/>
  <cols>
    <col min="1" max="1" width="9.85546875" bestFit="1" customWidth="1"/>
    <col min="3" max="3" width="17.5703125" bestFit="1" customWidth="1"/>
    <col min="4" max="4" width="12" bestFit="1" customWidth="1"/>
    <col min="5" max="5" width="33" bestFit="1" customWidth="1"/>
    <col min="6" max="6" width="33.7109375" bestFit="1" customWidth="1"/>
    <col min="8" max="8" width="20.42578125" customWidth="1"/>
    <col min="10" max="10" width="15.140625" bestFit="1" customWidth="1"/>
    <col min="12" max="12" width="9.28515625" bestFit="1" customWidth="1"/>
    <col min="13" max="13" width="20.85546875" customWidth="1"/>
    <col min="15" max="15" width="17.7109375" customWidth="1"/>
    <col min="16" max="16" width="13.42578125" bestFit="1" customWidth="1"/>
    <col min="17" max="17" width="9.28515625" bestFit="1" customWidth="1"/>
    <col min="18" max="18" width="13.42578125" bestFit="1" customWidth="1"/>
    <col min="19" max="19" width="9.140625" style="18"/>
    <col min="20" max="20" width="9.85546875" bestFit="1" customWidth="1"/>
  </cols>
  <sheetData>
    <row r="1" spans="1:20" x14ac:dyDescent="0.25">
      <c r="A1" s="24" t="s">
        <v>63</v>
      </c>
      <c r="B1" s="22" t="s">
        <v>64</v>
      </c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5" t="s">
        <v>5</v>
      </c>
      <c r="I1" s="22" t="s">
        <v>6</v>
      </c>
      <c r="J1" s="25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22" t="s">
        <v>14</v>
      </c>
      <c r="R1" s="22" t="s">
        <v>15</v>
      </c>
      <c r="S1" s="22"/>
      <c r="T1" s="22" t="s">
        <v>66</v>
      </c>
    </row>
    <row r="2" spans="1:20" x14ac:dyDescent="0.25">
      <c r="T2" s="56" t="e">
        <f>VLOOKUP(A2,'CURR FA LIVE'!$A:$A,1,0)</f>
        <v>#N/A</v>
      </c>
    </row>
    <row r="3" spans="1:20" x14ac:dyDescent="0.25">
      <c r="T3" s="56" t="e">
        <f>VLOOKUP(A3,'CURR FA LIVE'!$A:$A,1,0)</f>
        <v>#N/A</v>
      </c>
    </row>
    <row r="4" spans="1:20" x14ac:dyDescent="0.25">
      <c r="T4" s="56" t="e">
        <f>VLOOKUP(A4,'CURR FA LIVE'!$A:$A,1,0)</f>
        <v>#N/A</v>
      </c>
    </row>
    <row r="5" spans="1:20" x14ac:dyDescent="0.25">
      <c r="T5" s="56" t="e">
        <f>VLOOKUP(A5,'CURR FA LIVE'!$A:$A,1,0)</f>
        <v>#N/A</v>
      </c>
    </row>
    <row r="6" spans="1:20" x14ac:dyDescent="0.25">
      <c r="T6" s="56" t="e">
        <f>VLOOKUP(A6,'CURR FA LIVE'!$A:$A,1,0)</f>
        <v>#N/A</v>
      </c>
    </row>
    <row r="7" spans="1:20" x14ac:dyDescent="0.25">
      <c r="T7" s="56" t="e">
        <f>VLOOKUP(A7,'CURR FA LIVE'!$A:$A,1,0)</f>
        <v>#N/A</v>
      </c>
    </row>
    <row r="8" spans="1:20" x14ac:dyDescent="0.25">
      <c r="T8" s="56" t="e">
        <f>VLOOKUP(A8,'CURR FA LIVE'!$A:$A,1,0)</f>
        <v>#N/A</v>
      </c>
    </row>
    <row r="9" spans="1:20" x14ac:dyDescent="0.25">
      <c r="T9" s="56" t="e">
        <f>VLOOKUP(A9,'CURR FA LIVE'!$A:$A,1,0)</f>
        <v>#N/A</v>
      </c>
    </row>
    <row r="10" spans="1:20" x14ac:dyDescent="0.25">
      <c r="T10" s="56" t="e">
        <f>VLOOKUP(A10,'CURR FA LIVE'!$A:$A,1,0)</f>
        <v>#N/A</v>
      </c>
    </row>
    <row r="11" spans="1:20" x14ac:dyDescent="0.25">
      <c r="T11" s="56" t="e">
        <f>VLOOKUP(A11,'CURR FA LIVE'!$A:$A,1,0)</f>
        <v>#N/A</v>
      </c>
    </row>
    <row r="12" spans="1:20" x14ac:dyDescent="0.25">
      <c r="T12" s="56" t="e">
        <f>VLOOKUP(A12,'CURR FA LIVE'!$A:$A,1,0)</f>
        <v>#N/A</v>
      </c>
    </row>
    <row r="13" spans="1:20" x14ac:dyDescent="0.25">
      <c r="T13" s="56" t="e">
        <f>VLOOKUP(A13,'CURR FA LIVE'!$A:$A,1,0)</f>
        <v>#N/A</v>
      </c>
    </row>
    <row r="14" spans="1:20" x14ac:dyDescent="0.25">
      <c r="T14" s="56" t="e">
        <f>VLOOKUP(A14,'CURR FA LIVE'!$A:$A,1,0)</f>
        <v>#N/A</v>
      </c>
    </row>
    <row r="15" spans="1:20" x14ac:dyDescent="0.25">
      <c r="T15" s="56" t="e">
        <f>VLOOKUP(A15,'CURR FA LIVE'!$A:$A,1,0)</f>
        <v>#N/A</v>
      </c>
    </row>
    <row r="16" spans="1:20" x14ac:dyDescent="0.25">
      <c r="T16" s="56" t="e">
        <f>VLOOKUP(A16,'CURR FA LIVE'!$A:$A,1,0)</f>
        <v>#N/A</v>
      </c>
    </row>
    <row r="17" spans="20:20" x14ac:dyDescent="0.25">
      <c r="T17" s="56" t="e">
        <f>VLOOKUP(A17,'CURR FA LIVE'!$A:$A,1,0)</f>
        <v>#N/A</v>
      </c>
    </row>
    <row r="18" spans="20:20" x14ac:dyDescent="0.25">
      <c r="T18" s="56" t="e">
        <f>VLOOKUP(A18,'CURR FA LIVE'!$A:$A,1,0)</f>
        <v>#N/A</v>
      </c>
    </row>
    <row r="19" spans="20:20" x14ac:dyDescent="0.25">
      <c r="T19" s="56" t="e">
        <f>VLOOKUP(A19,'CURR FA LIVE'!$A:$A,1,0)</f>
        <v>#N/A</v>
      </c>
    </row>
    <row r="20" spans="20:20" x14ac:dyDescent="0.25">
      <c r="T20" s="56" t="e">
        <f>VLOOKUP(A20,'CURR FA LIVE'!$A:$A,1,0)</f>
        <v>#N/A</v>
      </c>
    </row>
    <row r="21" spans="20:20" x14ac:dyDescent="0.25">
      <c r="T21" s="56" t="e">
        <f>VLOOKUP(A21,'CURR FA LIVE'!$A:$A,1,0)</f>
        <v>#N/A</v>
      </c>
    </row>
    <row r="22" spans="20:20" x14ac:dyDescent="0.25">
      <c r="T22" s="56" t="e">
        <f>VLOOKUP(A22,'CURR FA LIVE'!$A:$A,1,0)</f>
        <v>#N/A</v>
      </c>
    </row>
    <row r="23" spans="20:20" x14ac:dyDescent="0.25">
      <c r="T23" s="56" t="e">
        <f>VLOOKUP(A23,'CURR FA LIVE'!$A:$A,1,0)</f>
        <v>#N/A</v>
      </c>
    </row>
    <row r="24" spans="20:20" x14ac:dyDescent="0.25">
      <c r="T24" s="56" t="e">
        <f>VLOOKUP(A24,'CURR FA LIVE'!$A:$A,1,0)</f>
        <v>#N/A</v>
      </c>
    </row>
    <row r="25" spans="20:20" x14ac:dyDescent="0.25">
      <c r="T25" s="56" t="e">
        <f>VLOOKUP(A25,'CURR FA LIVE'!$A:$A,1,0)</f>
        <v>#N/A</v>
      </c>
    </row>
    <row r="26" spans="20:20" x14ac:dyDescent="0.25">
      <c r="T26" s="56" t="e">
        <f>VLOOKUP(A26,'CURR FA LIVE'!$A:$A,1,0)</f>
        <v>#N/A</v>
      </c>
    </row>
    <row r="27" spans="20:20" x14ac:dyDescent="0.25">
      <c r="T27" s="56" t="e">
        <f>VLOOKUP(A27,'CURR FA LIVE'!$A:$A,1,0)</f>
        <v>#N/A</v>
      </c>
    </row>
    <row r="28" spans="20:20" x14ac:dyDescent="0.25">
      <c r="T28" s="56" t="e">
        <f>VLOOKUP(A28,'CURR FA LIVE'!$A:$A,1,0)</f>
        <v>#N/A</v>
      </c>
    </row>
    <row r="29" spans="20:20" x14ac:dyDescent="0.25">
      <c r="T29" s="56" t="e">
        <f>VLOOKUP(A29,'CURR FA LIVE'!$A:$A,1,0)</f>
        <v>#N/A</v>
      </c>
    </row>
    <row r="30" spans="20:20" x14ac:dyDescent="0.25">
      <c r="T30" s="56" t="e">
        <f>VLOOKUP(A30,'CURR FA LIVE'!$A:$A,1,0)</f>
        <v>#N/A</v>
      </c>
    </row>
    <row r="31" spans="20:20" x14ac:dyDescent="0.25">
      <c r="T31" s="56" t="e">
        <f>VLOOKUP(A31,'CURR FA LIVE'!$A:$A,1,0)</f>
        <v>#N/A</v>
      </c>
    </row>
    <row r="32" spans="20:20" x14ac:dyDescent="0.25">
      <c r="T32" s="56" t="e">
        <f>VLOOKUP(A32,'CURR FA LIVE'!$A:$A,1,0)</f>
        <v>#N/A</v>
      </c>
    </row>
    <row r="33" spans="20:20" x14ac:dyDescent="0.25">
      <c r="T33" s="56" t="e">
        <f>VLOOKUP(A33,'CURR FA LIVE'!$A:$A,1,0)</f>
        <v>#N/A</v>
      </c>
    </row>
    <row r="34" spans="20:20" x14ac:dyDescent="0.25">
      <c r="T34" s="56" t="e">
        <f>VLOOKUP(A34,'CURR FA LIVE'!$A:$A,1,0)</f>
        <v>#N/A</v>
      </c>
    </row>
    <row r="35" spans="20:20" x14ac:dyDescent="0.25">
      <c r="T35" s="56" t="e">
        <f>VLOOKUP(A35,'CURR FA LIVE'!$A:$A,1,0)</f>
        <v>#N/A</v>
      </c>
    </row>
    <row r="36" spans="20:20" x14ac:dyDescent="0.25">
      <c r="T36" s="56" t="e">
        <f>VLOOKUP(A36,'CURR FA LIVE'!$A:$A,1,0)</f>
        <v>#N/A</v>
      </c>
    </row>
    <row r="37" spans="20:20" x14ac:dyDescent="0.25">
      <c r="T37" s="56" t="e">
        <f>VLOOKUP(A37,'CURR FA LIVE'!$A:$A,1,0)</f>
        <v>#N/A</v>
      </c>
    </row>
    <row r="38" spans="20:20" x14ac:dyDescent="0.25">
      <c r="T38" s="56" t="e">
        <f>VLOOKUP(A38,'CURR FA LIVE'!$A:$A,1,0)</f>
        <v>#N/A</v>
      </c>
    </row>
    <row r="39" spans="20:20" x14ac:dyDescent="0.25">
      <c r="T39" s="56" t="e">
        <f>VLOOKUP(A39,'CURR FA LIVE'!$A:$A,1,0)</f>
        <v>#N/A</v>
      </c>
    </row>
    <row r="40" spans="20:20" x14ac:dyDescent="0.25">
      <c r="T40" s="56" t="e">
        <f>VLOOKUP(A40,'CURR FA LIVE'!$A:$A,1,0)</f>
        <v>#N/A</v>
      </c>
    </row>
    <row r="41" spans="20:20" x14ac:dyDescent="0.25">
      <c r="T41" s="56" t="e">
        <f>VLOOKUP(A41,'CURR FA LIVE'!$A:$A,1,0)</f>
        <v>#N/A</v>
      </c>
    </row>
    <row r="42" spans="20:20" x14ac:dyDescent="0.25">
      <c r="T42" s="56" t="e">
        <f>VLOOKUP(A42,'CURR FA LIVE'!$A:$A,1,0)</f>
        <v>#N/A</v>
      </c>
    </row>
    <row r="43" spans="20:20" x14ac:dyDescent="0.25">
      <c r="T43" s="56" t="e">
        <f>VLOOKUP(A43,'CURR FA LIVE'!$A:$A,1,0)</f>
        <v>#N/A</v>
      </c>
    </row>
    <row r="44" spans="20:20" x14ac:dyDescent="0.25">
      <c r="T44" s="56" t="e">
        <f>VLOOKUP(A44,'CURR FA LIVE'!$A:$A,1,0)</f>
        <v>#N/A</v>
      </c>
    </row>
    <row r="45" spans="20:20" x14ac:dyDescent="0.25">
      <c r="T45" s="56" t="e">
        <f>VLOOKUP(A45,'CURR FA LIVE'!$A:$A,1,0)</f>
        <v>#N/A</v>
      </c>
    </row>
    <row r="46" spans="20:20" x14ac:dyDescent="0.25">
      <c r="T46" s="56" t="e">
        <f>VLOOKUP(A46,'CURR FA LIVE'!$A:$A,1,0)</f>
        <v>#N/A</v>
      </c>
    </row>
    <row r="47" spans="20:20" x14ac:dyDescent="0.25">
      <c r="T47" s="56" t="e">
        <f>VLOOKUP(A47,'CURR FA LIVE'!$A:$A,1,0)</f>
        <v>#N/A</v>
      </c>
    </row>
    <row r="48" spans="20:20" x14ac:dyDescent="0.25">
      <c r="T48" s="56" t="e">
        <f>VLOOKUP(A48,'CURR FA LIVE'!$A:$A,1,0)</f>
        <v>#N/A</v>
      </c>
    </row>
    <row r="49" spans="20:20" x14ac:dyDescent="0.25">
      <c r="T49" s="56" t="e">
        <f>VLOOKUP(A49,'CURR FA LIVE'!$A:$A,1,0)</f>
        <v>#N/A</v>
      </c>
    </row>
    <row r="50" spans="20:20" x14ac:dyDescent="0.25">
      <c r="T50" s="56" t="e">
        <f>VLOOKUP(A50,'CURR FA LIVE'!$A:$A,1,0)</f>
        <v>#N/A</v>
      </c>
    </row>
    <row r="51" spans="20:20" x14ac:dyDescent="0.25">
      <c r="T51" s="56" t="e">
        <f>VLOOKUP(A51,'CURR FA LIVE'!$A:$A,1,0)</f>
        <v>#N/A</v>
      </c>
    </row>
    <row r="52" spans="20:20" x14ac:dyDescent="0.25">
      <c r="T52" s="56" t="e">
        <f>VLOOKUP(A52,'CURR FA LIVE'!$A:$A,1,0)</f>
        <v>#N/A</v>
      </c>
    </row>
    <row r="53" spans="20:20" x14ac:dyDescent="0.25">
      <c r="T53" s="56" t="e">
        <f>VLOOKUP(A53,'CURR FA LIVE'!$A:$A,1,0)</f>
        <v>#N/A</v>
      </c>
    </row>
    <row r="54" spans="20:20" x14ac:dyDescent="0.25">
      <c r="T54" s="56" t="e">
        <f>VLOOKUP(A54,'CURR FA LIVE'!$A:$A,1,0)</f>
        <v>#N/A</v>
      </c>
    </row>
    <row r="55" spans="20:20" x14ac:dyDescent="0.25">
      <c r="T55" s="56" t="e">
        <f>VLOOKUP(A55,'CURR FA LIVE'!$A:$A,1,0)</f>
        <v>#N/A</v>
      </c>
    </row>
    <row r="56" spans="20:20" x14ac:dyDescent="0.25">
      <c r="T56" s="56" t="e">
        <f>VLOOKUP(A56,'CURR FA LIVE'!$A:$A,1,0)</f>
        <v>#N/A</v>
      </c>
    </row>
    <row r="57" spans="20:20" x14ac:dyDescent="0.25">
      <c r="T57" s="56" t="e">
        <f>VLOOKUP(A57,'CURR FA LIVE'!$A:$A,1,0)</f>
        <v>#N/A</v>
      </c>
    </row>
    <row r="58" spans="20:20" x14ac:dyDescent="0.25">
      <c r="T58" s="56" t="e">
        <f>VLOOKUP(A58,'CURR FA LIVE'!$A:$A,1,0)</f>
        <v>#N/A</v>
      </c>
    </row>
    <row r="59" spans="20:20" x14ac:dyDescent="0.25">
      <c r="T59" s="56" t="e">
        <f>VLOOKUP(A59,'CURR FA LIVE'!$A:$A,1,0)</f>
        <v>#N/A</v>
      </c>
    </row>
    <row r="60" spans="20:20" x14ac:dyDescent="0.25">
      <c r="T60" s="56" t="e">
        <f>VLOOKUP(A60,'CURR FA LIVE'!$A:$A,1,0)</f>
        <v>#N/A</v>
      </c>
    </row>
    <row r="61" spans="20:20" x14ac:dyDescent="0.25">
      <c r="T61" s="56" t="e">
        <f>VLOOKUP(A61,'CURR FA LIVE'!$A:$A,1,0)</f>
        <v>#N/A</v>
      </c>
    </row>
    <row r="62" spans="20:20" x14ac:dyDescent="0.25">
      <c r="T62" s="56" t="e">
        <f>VLOOKUP(A62,'CURR FA LIVE'!$A:$A,1,0)</f>
        <v>#N/A</v>
      </c>
    </row>
    <row r="63" spans="20:20" x14ac:dyDescent="0.25">
      <c r="T63" s="56" t="e">
        <f>VLOOKUP(A63,'CURR FA LIVE'!$A:$A,1,0)</f>
        <v>#N/A</v>
      </c>
    </row>
    <row r="64" spans="20:20" x14ac:dyDescent="0.25">
      <c r="T64" s="56" t="e">
        <f>VLOOKUP(A64,'CURR FA LIVE'!$A:$A,1,0)</f>
        <v>#N/A</v>
      </c>
    </row>
    <row r="65" spans="20:20" x14ac:dyDescent="0.25">
      <c r="T65" s="56" t="e">
        <f>VLOOKUP(A65,'CURR FA LIVE'!$A:$A,1,0)</f>
        <v>#N/A</v>
      </c>
    </row>
    <row r="66" spans="20:20" x14ac:dyDescent="0.25">
      <c r="T66" s="56" t="e">
        <f>VLOOKUP(A66,'CURR FA LIVE'!$A:$A,1,0)</f>
        <v>#N/A</v>
      </c>
    </row>
    <row r="67" spans="20:20" x14ac:dyDescent="0.25">
      <c r="T67" s="56" t="e">
        <f>VLOOKUP(A67,'CURR FA LIVE'!$A:$A,1,0)</f>
        <v>#N/A</v>
      </c>
    </row>
    <row r="68" spans="20:20" x14ac:dyDescent="0.25">
      <c r="T68" s="56" t="e">
        <f>VLOOKUP(A68,'CURR FA LIVE'!$A:$A,1,0)</f>
        <v>#N/A</v>
      </c>
    </row>
    <row r="69" spans="20:20" x14ac:dyDescent="0.25">
      <c r="T69" s="56" t="e">
        <f>VLOOKUP(A69,'CURR FA LIVE'!$A:$A,1,0)</f>
        <v>#N/A</v>
      </c>
    </row>
    <row r="70" spans="20:20" x14ac:dyDescent="0.25">
      <c r="T70" s="56" t="e">
        <f>VLOOKUP(A70,'CURR FA LIVE'!$A:$A,1,0)</f>
        <v>#N/A</v>
      </c>
    </row>
    <row r="71" spans="20:20" x14ac:dyDescent="0.25">
      <c r="T71" s="56" t="e">
        <f>VLOOKUP(A71,'CURR FA LIVE'!$A:$A,1,0)</f>
        <v>#N/A</v>
      </c>
    </row>
    <row r="72" spans="20:20" x14ac:dyDescent="0.25">
      <c r="T72" s="56" t="e">
        <f>VLOOKUP(A72,'CURR FA LIVE'!$A:$A,1,0)</f>
        <v>#N/A</v>
      </c>
    </row>
    <row r="73" spans="20:20" x14ac:dyDescent="0.25">
      <c r="T73" s="56" t="e">
        <f>VLOOKUP(A73,'CURR FA LIVE'!$A:$A,1,0)</f>
        <v>#N/A</v>
      </c>
    </row>
    <row r="74" spans="20:20" x14ac:dyDescent="0.25">
      <c r="T74" s="56" t="e">
        <f>VLOOKUP(A74,'CURR FA LIVE'!$A:$A,1,0)</f>
        <v>#N/A</v>
      </c>
    </row>
    <row r="75" spans="20:20" x14ac:dyDescent="0.25">
      <c r="T75" s="56" t="e">
        <f>VLOOKUP(A75,'CURR FA LIVE'!$A:$A,1,0)</f>
        <v>#N/A</v>
      </c>
    </row>
    <row r="76" spans="20:20" x14ac:dyDescent="0.25">
      <c r="T76" s="56" t="e">
        <f>VLOOKUP(A76,'CURR FA LIVE'!$A:$A,1,0)</f>
        <v>#N/A</v>
      </c>
    </row>
    <row r="77" spans="20:20" x14ac:dyDescent="0.25">
      <c r="T77" s="56" t="e">
        <f>VLOOKUP(A77,'CURR FA LIVE'!$A:$A,1,0)</f>
        <v>#N/A</v>
      </c>
    </row>
    <row r="78" spans="20:20" x14ac:dyDescent="0.25">
      <c r="T78" s="56" t="e">
        <f>VLOOKUP(A78,'CURR FA LIVE'!$A:$A,1,0)</f>
        <v>#N/A</v>
      </c>
    </row>
    <row r="79" spans="20:20" x14ac:dyDescent="0.25">
      <c r="T79" s="56" t="e">
        <f>VLOOKUP(A79,'CURR FA LIVE'!$A:$A,1,0)</f>
        <v>#N/A</v>
      </c>
    </row>
    <row r="80" spans="20:20" x14ac:dyDescent="0.25">
      <c r="T80" s="56" t="e">
        <f>VLOOKUP(A80,'CURR FA LIVE'!$A:$A,1,0)</f>
        <v>#N/A</v>
      </c>
    </row>
    <row r="81" spans="1:20" x14ac:dyDescent="0.25">
      <c r="T81" s="56" t="e">
        <f>VLOOKUP(A81,'CURR FA LIVE'!$A:$A,1,0)</f>
        <v>#N/A</v>
      </c>
    </row>
    <row r="82" spans="1:20" x14ac:dyDescent="0.25">
      <c r="T82" s="56" t="e">
        <f>VLOOKUP(A82,'CURR FA LIVE'!$A:$A,1,0)</f>
        <v>#N/A</v>
      </c>
    </row>
    <row r="83" spans="1:20" x14ac:dyDescent="0.25">
      <c r="T83" s="56" t="e">
        <f>VLOOKUP(A83,'CURR FA LIVE'!$A:$A,1,0)</f>
        <v>#N/A</v>
      </c>
    </row>
    <row r="84" spans="1:20" x14ac:dyDescent="0.25">
      <c r="T84" s="56" t="e">
        <f>VLOOKUP(A84,'CURR FA LIVE'!$A:$A,1,0)</f>
        <v>#N/A</v>
      </c>
    </row>
    <row r="85" spans="1:20" x14ac:dyDescent="0.25">
      <c r="T85" s="56" t="e">
        <f>VLOOKUP(A85,'CURR FA LIVE'!$A:$A,1,0)</f>
        <v>#N/A</v>
      </c>
    </row>
    <row r="86" spans="1:20" x14ac:dyDescent="0.25">
      <c r="T86" s="56" t="e">
        <f>VLOOKUP(A86,'CURR FA LIVE'!$A:$A,1,0)</f>
        <v>#N/A</v>
      </c>
    </row>
    <row r="87" spans="1:20" x14ac:dyDescent="0.25">
      <c r="T87" s="56" t="e">
        <f>VLOOKUP(A87,'CURR FA LIVE'!$A:$A,1,0)</f>
        <v>#N/A</v>
      </c>
    </row>
    <row r="88" spans="1:20" x14ac:dyDescent="0.25">
      <c r="T88" s="56" t="e">
        <f>VLOOKUP(A88,'CURR FA LIVE'!$A:$A,1,0)</f>
        <v>#N/A</v>
      </c>
    </row>
    <row r="89" spans="1:20" x14ac:dyDescent="0.25">
      <c r="T89" s="56" t="e">
        <f>VLOOKUP(A89,'CURR FA LIVE'!$A:$A,1,0)</f>
        <v>#N/A</v>
      </c>
    </row>
    <row r="90" spans="1:20" x14ac:dyDescent="0.25">
      <c r="T90" s="56" t="e">
        <f>VLOOKUP(A90,'CURR FA LIVE'!$A:$A,1,0)</f>
        <v>#N/A</v>
      </c>
    </row>
    <row r="91" spans="1:20" x14ac:dyDescent="0.25">
      <c r="T91" s="56" t="e">
        <f>VLOOKUP(A91,'CURR FA LIVE'!$A:$A,1,0)</f>
        <v>#N/A</v>
      </c>
    </row>
    <row r="92" spans="1:20" x14ac:dyDescent="0.25">
      <c r="T92" s="56" t="e">
        <f>VLOOKUP(A92,'CURR FA LIVE'!$A:$A,1,0)</f>
        <v>#N/A</v>
      </c>
    </row>
    <row r="93" spans="1:20" x14ac:dyDescent="0.25">
      <c r="T93" s="56" t="e">
        <f>VLOOKUP(A93,'CURR FA LIVE'!$A:$A,1,0)</f>
        <v>#N/A</v>
      </c>
    </row>
    <row r="94" spans="1:20" x14ac:dyDescent="0.25">
      <c r="T94" s="56" t="e">
        <f>VLOOKUP(A94,'CURR FA LIVE'!$A:$A,1,0)</f>
        <v>#N/A</v>
      </c>
    </row>
    <row r="95" spans="1:20" x14ac:dyDescent="0.25">
      <c r="T95" s="56" t="e">
        <f>VLOOKUP(A95,'CURR FA LIVE'!$A:$A,1,0)</f>
        <v>#N/A</v>
      </c>
    </row>
    <row r="96" spans="1:20" s="56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T96" s="56" t="e">
        <f>VLOOKUP(A96,'CURR FA LIVE'!$A:$A,1,0)</f>
        <v>#N/A</v>
      </c>
    </row>
    <row r="97" spans="1:20" s="56" customForma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T97" s="56" t="e">
        <f>VLOOKUP(A97,'CURR FA LIVE'!$A:$A,1,0)</f>
        <v>#N/A</v>
      </c>
    </row>
    <row r="98" spans="1:20" s="56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T98" s="56" t="e">
        <f>VLOOKUP(A98,'CURR FA LIVE'!$A:$A,1,0)</f>
        <v>#N/A</v>
      </c>
    </row>
    <row r="99" spans="1:20" s="56" customForma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T99" s="56" t="e">
        <f>VLOOKUP(A99,'CURR FA LIVE'!$A:$A,1,0)</f>
        <v>#N/A</v>
      </c>
    </row>
    <row r="100" spans="1:20" s="56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T100" s="56" t="e">
        <f>VLOOKUP(A100,'CURR FA LIVE'!$A:$A,1,0)</f>
        <v>#N/A</v>
      </c>
    </row>
    <row r="101" spans="1:20" s="56" customForma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T101" s="56" t="e">
        <f>VLOOKUP(A101,'CURR FA LIVE'!$A:$A,1,0)</f>
        <v>#N/A</v>
      </c>
    </row>
    <row r="102" spans="1:20" s="56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T102" s="56" t="e">
        <f>VLOOKUP(A102,'CURR FA LIVE'!$A:$A,1,0)</f>
        <v>#N/A</v>
      </c>
    </row>
    <row r="103" spans="1:20" s="56" customForma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T103" s="56" t="e">
        <f>VLOOKUP(A103,'CURR FA LIVE'!$A:$A,1,0)</f>
        <v>#N/A</v>
      </c>
    </row>
    <row r="104" spans="1:20" s="56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T104" s="56" t="e">
        <f>VLOOKUP(A104,'CURR FA LIVE'!$A:$A,1,0)</f>
        <v>#N/A</v>
      </c>
    </row>
    <row r="105" spans="1:20" s="56" customForma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T105" s="56" t="e">
        <f>VLOOKUP(A105,'CURR FA LIVE'!$A:$A,1,0)</f>
        <v>#N/A</v>
      </c>
    </row>
    <row r="106" spans="1:20" s="56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T106" s="56" t="e">
        <f>VLOOKUP(A106,'CURR FA LIVE'!$A:$A,1,0)</f>
        <v>#N/A</v>
      </c>
    </row>
    <row r="107" spans="1:20" s="56" customForma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T107" s="56" t="e">
        <f>VLOOKUP(A107,'CURR FA LIVE'!$A:$A,1,0)</f>
        <v>#N/A</v>
      </c>
    </row>
    <row r="108" spans="1:20" s="56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T108" s="56" t="e">
        <f>VLOOKUP(A108,'CURR FA LIVE'!$A:$A,1,0)</f>
        <v>#N/A</v>
      </c>
    </row>
    <row r="109" spans="1:20" s="56" customForma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T109" s="56" t="e">
        <f>VLOOKUP(A109,'CURR FA LIVE'!$A:$A,1,0)</f>
        <v>#N/A</v>
      </c>
    </row>
    <row r="110" spans="1:20" s="56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T110" s="56" t="e">
        <f>VLOOKUP(A110,'CURR FA LIVE'!$A:$A,1,0)</f>
        <v>#N/A</v>
      </c>
    </row>
    <row r="111" spans="1:20" s="56" customForma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T111" s="56" t="e">
        <f>VLOOKUP(A111,'CURR FA LIVE'!$A:$A,1,0)</f>
        <v>#N/A</v>
      </c>
    </row>
    <row r="112" spans="1:20" s="56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T112" s="56" t="e">
        <f>VLOOKUP(A112,'CURR FA LIVE'!$A:$A,1,0)</f>
        <v>#N/A</v>
      </c>
    </row>
    <row r="113" spans="1:20" s="56" customForma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T113" s="56" t="e">
        <f>VLOOKUP(A113,'CURR FA LIVE'!$A:$A,1,0)</f>
        <v>#N/A</v>
      </c>
    </row>
    <row r="114" spans="1:20" s="56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T114" s="56" t="e">
        <f>VLOOKUP(A114,'CURR FA LIVE'!$A:$A,1,0)</f>
        <v>#N/A</v>
      </c>
    </row>
    <row r="115" spans="1:20" s="56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T115" s="56" t="e">
        <f>VLOOKUP(A115,'CURR FA LIVE'!$A:$A,1,0)</f>
        <v>#N/A</v>
      </c>
    </row>
    <row r="116" spans="1:20" s="56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T116" s="56" t="e">
        <f>VLOOKUP(A116,'CURR FA LIVE'!$A:$A,1,0)</f>
        <v>#N/A</v>
      </c>
    </row>
    <row r="117" spans="1:20" s="56" customForma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T117" s="56" t="e">
        <f>VLOOKUP(A117,'CURR FA LIVE'!$A:$A,1,0)</f>
        <v>#N/A</v>
      </c>
    </row>
    <row r="118" spans="1:20" s="56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T118" s="56" t="e">
        <f>VLOOKUP(A118,'CURR FA LIVE'!$A:$A,1,0)</f>
        <v>#N/A</v>
      </c>
    </row>
    <row r="119" spans="1:20" s="56" customForma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T119" s="56" t="e">
        <f>VLOOKUP(A119,'CURR FA LIVE'!$A:$A,1,0)</f>
        <v>#N/A</v>
      </c>
    </row>
    <row r="120" spans="1:20" s="56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T120" s="56" t="e">
        <f>VLOOKUP(A120,'CURR FA LIVE'!$A:$A,1,0)</f>
        <v>#N/A</v>
      </c>
    </row>
    <row r="121" spans="1:20" s="56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T121" s="56" t="e">
        <f>VLOOKUP(A121,'CURR FA LIVE'!$A:$A,1,0)</f>
        <v>#N/A</v>
      </c>
    </row>
    <row r="122" spans="1:20" s="56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T122" s="56" t="e">
        <f>VLOOKUP(A122,'CURR FA LIVE'!$A:$A,1,0)</f>
        <v>#N/A</v>
      </c>
    </row>
    <row r="123" spans="1:20" s="56" customForma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T123" s="56" t="e">
        <f>VLOOKUP(A123,'CURR FA LIVE'!$A:$A,1,0)</f>
        <v>#N/A</v>
      </c>
    </row>
    <row r="124" spans="1:20" s="56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T124" s="56" t="e">
        <f>VLOOKUP(A124,'CURR FA LIVE'!$A:$A,1,0)</f>
        <v>#N/A</v>
      </c>
    </row>
    <row r="125" spans="1:20" s="56" customForma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T125" s="56" t="e">
        <f>VLOOKUP(A125,'CURR FA LIVE'!$A:$A,1,0)</f>
        <v>#N/A</v>
      </c>
    </row>
    <row r="126" spans="1:20" s="56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T126" s="56" t="e">
        <f>VLOOKUP(A126,'CURR FA LIVE'!$A:$A,1,0)</f>
        <v>#N/A</v>
      </c>
    </row>
    <row r="127" spans="1:20" s="56" customForma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T127" s="56" t="e">
        <f>VLOOKUP(A127,'CURR FA LIVE'!$A:$A,1,0)</f>
        <v>#N/A</v>
      </c>
    </row>
    <row r="128" spans="1:20" s="56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T128" s="56" t="e">
        <f>VLOOKUP(A128,'CURR FA LIVE'!$A:$A,1,0)</f>
        <v>#N/A</v>
      </c>
    </row>
    <row r="129" spans="1:20" s="56" customForma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T129" s="56" t="e">
        <f>VLOOKUP(A129,'CURR FA LIVE'!$A:$A,1,0)</f>
        <v>#N/A</v>
      </c>
    </row>
    <row r="130" spans="1:20" s="56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T130" s="56" t="e">
        <f>VLOOKUP(A130,'CURR FA LIVE'!$A:$A,1,0)</f>
        <v>#N/A</v>
      </c>
    </row>
    <row r="131" spans="1:20" s="56" customForma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T131" s="56" t="e">
        <f>VLOOKUP(A131,'CURR FA LIVE'!$A:$A,1,0)</f>
        <v>#N/A</v>
      </c>
    </row>
    <row r="132" spans="1:20" s="56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T132" s="56" t="e">
        <f>VLOOKUP(A132,'CURR FA LIVE'!$A:$A,1,0)</f>
        <v>#N/A</v>
      </c>
    </row>
    <row r="133" spans="1:20" s="56" customFormat="1" x14ac:dyDescent="0.25">
      <c r="C133" s="27"/>
      <c r="D133" s="58"/>
      <c r="P133" s="22"/>
      <c r="T133" s="56" t="e">
        <f>VLOOKUP(A133,'CURR FA LIVE'!$A:$A,1,0)</f>
        <v>#N/A</v>
      </c>
    </row>
    <row r="134" spans="1:20" s="56" customFormat="1" x14ac:dyDescent="0.25">
      <c r="C134" s="27"/>
      <c r="D134" s="58"/>
      <c r="P134" s="22"/>
      <c r="T134" s="56" t="e">
        <f>VLOOKUP(A134,'CURR FA LIVE'!$A:$A,1,0)</f>
        <v>#N/A</v>
      </c>
    </row>
    <row r="135" spans="1:20" s="56" customFormat="1" x14ac:dyDescent="0.25">
      <c r="C135" s="27"/>
      <c r="D135" s="58"/>
      <c r="P135" s="22"/>
      <c r="T135" s="56" t="e">
        <f>VLOOKUP(A135,'CURR FA LIVE'!$A:$A,1,0)</f>
        <v>#N/A</v>
      </c>
    </row>
    <row r="136" spans="1:20" s="56" customFormat="1" x14ac:dyDescent="0.25">
      <c r="C136" s="27"/>
      <c r="D136" s="58"/>
      <c r="P136" s="22"/>
      <c r="T136" s="56" t="e">
        <f>VLOOKUP(A136,'CURR FA LIVE'!$A:$A,1,0)</f>
        <v>#N/A</v>
      </c>
    </row>
    <row r="137" spans="1:20" s="56" customFormat="1" x14ac:dyDescent="0.25">
      <c r="C137" s="27"/>
      <c r="D137" s="58"/>
      <c r="P137" s="22"/>
      <c r="T137" s="56" t="e">
        <f>VLOOKUP(A137,'CURR FA LIVE'!$A:$A,1,0)</f>
        <v>#N/A</v>
      </c>
    </row>
    <row r="138" spans="1:20" s="56" customFormat="1" x14ac:dyDescent="0.25">
      <c r="C138" s="27"/>
      <c r="D138" s="58"/>
      <c r="P138" s="22"/>
      <c r="T138" s="56" t="e">
        <f>VLOOKUP(A138,'CURR FA LIVE'!$A:$A,1,0)</f>
        <v>#N/A</v>
      </c>
    </row>
    <row r="139" spans="1:20" s="56" customFormat="1" x14ac:dyDescent="0.25">
      <c r="C139" s="27"/>
      <c r="D139" s="58"/>
      <c r="P139" s="22"/>
      <c r="T139" s="56" t="e">
        <f>VLOOKUP(A139,'CURR FA LIVE'!$A:$A,1,0)</f>
        <v>#N/A</v>
      </c>
    </row>
    <row r="140" spans="1:20" s="56" customFormat="1" x14ac:dyDescent="0.25">
      <c r="C140" s="27"/>
      <c r="D140" s="58"/>
      <c r="P140" s="22"/>
      <c r="T140" s="56" t="e">
        <f>VLOOKUP(A140,'CURR FA LIVE'!$A:$A,1,0)</f>
        <v>#N/A</v>
      </c>
    </row>
    <row r="141" spans="1:20" s="56" customFormat="1" x14ac:dyDescent="0.25">
      <c r="C141" s="27"/>
      <c r="D141" s="58"/>
      <c r="P141" s="22"/>
      <c r="T141" s="56" t="e">
        <f>VLOOKUP(A141,'CURR FA LIVE'!$A:$A,1,0)</f>
        <v>#N/A</v>
      </c>
    </row>
    <row r="142" spans="1:20" s="56" customFormat="1" x14ac:dyDescent="0.25">
      <c r="C142" s="27"/>
      <c r="D142" s="58"/>
      <c r="P142" s="22"/>
      <c r="T142" s="56" t="e">
        <f>VLOOKUP(A142,'CURR FA LIVE'!$A:$A,1,0)</f>
        <v>#N/A</v>
      </c>
    </row>
    <row r="143" spans="1:20" s="56" customFormat="1" x14ac:dyDescent="0.25">
      <c r="C143" s="27"/>
      <c r="D143" s="58"/>
      <c r="P143" s="22"/>
      <c r="T143" s="56" t="e">
        <f>VLOOKUP(A143,'CURR FA LIVE'!$A:$A,1,0)</f>
        <v>#N/A</v>
      </c>
    </row>
    <row r="144" spans="1:20" s="56" customFormat="1" x14ac:dyDescent="0.25">
      <c r="C144" s="27"/>
      <c r="D144" s="58"/>
      <c r="P144" s="22"/>
      <c r="T144" s="56" t="e">
        <f>VLOOKUP(A144,'CURR FA LIVE'!$A:$A,1,0)</f>
        <v>#N/A</v>
      </c>
    </row>
    <row r="145" spans="3:20" s="56" customFormat="1" x14ac:dyDescent="0.25">
      <c r="C145" s="27"/>
      <c r="D145" s="58"/>
      <c r="P145" s="22"/>
      <c r="T145" s="56" t="e">
        <f>VLOOKUP(A145,'CURR FA LIVE'!$A:$A,1,0)</f>
        <v>#N/A</v>
      </c>
    </row>
    <row r="146" spans="3:20" s="56" customFormat="1" x14ac:dyDescent="0.25">
      <c r="C146" s="27"/>
      <c r="D146" s="58"/>
      <c r="P146" s="22"/>
      <c r="T146" s="56" t="e">
        <f>VLOOKUP(A146,'CURR FA LIVE'!$A:$A,1,0)</f>
        <v>#N/A</v>
      </c>
    </row>
    <row r="147" spans="3:20" s="56" customFormat="1" x14ac:dyDescent="0.25">
      <c r="C147" s="27"/>
      <c r="D147" s="58"/>
      <c r="P147" s="22"/>
      <c r="T147" s="56" t="e">
        <f>VLOOKUP(A147,'CURR FA LIVE'!$A:$A,1,0)</f>
        <v>#N/A</v>
      </c>
    </row>
    <row r="148" spans="3:20" s="56" customFormat="1" x14ac:dyDescent="0.25">
      <c r="C148" s="27"/>
      <c r="D148" s="58"/>
      <c r="P148" s="22"/>
      <c r="T148" s="56" t="e">
        <f>VLOOKUP(A148,'CURR FA LIVE'!$A:$A,1,0)</f>
        <v>#N/A</v>
      </c>
    </row>
    <row r="149" spans="3:20" s="56" customFormat="1" x14ac:dyDescent="0.25">
      <c r="C149" s="27"/>
      <c r="D149" s="58"/>
      <c r="P149" s="22"/>
      <c r="T149" s="56" t="e">
        <f>VLOOKUP(A149,'CURR FA LIVE'!$A:$A,1,0)</f>
        <v>#N/A</v>
      </c>
    </row>
    <row r="150" spans="3:20" s="56" customFormat="1" x14ac:dyDescent="0.25">
      <c r="C150" s="27"/>
      <c r="D150" s="58"/>
      <c r="P150" s="22"/>
      <c r="T150" s="56" t="e">
        <f>VLOOKUP(A150,'CURR FA LIVE'!$A:$A,1,0)</f>
        <v>#N/A</v>
      </c>
    </row>
    <row r="151" spans="3:20" s="56" customFormat="1" x14ac:dyDescent="0.25">
      <c r="C151" s="27"/>
      <c r="D151" s="58"/>
      <c r="P151" s="22"/>
      <c r="T151" s="56" t="e">
        <f>VLOOKUP(A151,'CURR FA LIVE'!$A:$A,1,0)</f>
        <v>#N/A</v>
      </c>
    </row>
    <row r="152" spans="3:20" s="56" customFormat="1" x14ac:dyDescent="0.25">
      <c r="C152" s="27"/>
      <c r="D152" s="58"/>
      <c r="P152" s="22"/>
      <c r="T152" s="56" t="e">
        <f>VLOOKUP(A152,'CURR FA LIVE'!$A:$A,1,0)</f>
        <v>#N/A</v>
      </c>
    </row>
    <row r="153" spans="3:20" s="56" customFormat="1" x14ac:dyDescent="0.25">
      <c r="C153" s="27"/>
      <c r="D153" s="58"/>
      <c r="P153" s="22"/>
      <c r="T153" s="56" t="e">
        <f>VLOOKUP(A153,'CURR FA LIVE'!$A:$A,1,0)</f>
        <v>#N/A</v>
      </c>
    </row>
    <row r="154" spans="3:20" s="56" customFormat="1" x14ac:dyDescent="0.25">
      <c r="C154" s="27"/>
      <c r="D154" s="58"/>
      <c r="P154" s="22"/>
      <c r="T154" s="56" t="e">
        <f>VLOOKUP(A154,'CURR FA LIVE'!$A:$A,1,0)</f>
        <v>#N/A</v>
      </c>
    </row>
    <row r="155" spans="3:20" s="56" customFormat="1" x14ac:dyDescent="0.25">
      <c r="C155" s="27"/>
      <c r="D155" s="58"/>
      <c r="P155" s="22"/>
      <c r="T155" s="56" t="e">
        <f>VLOOKUP(A155,'CURR FA LIVE'!$A:$A,1,0)</f>
        <v>#N/A</v>
      </c>
    </row>
    <row r="156" spans="3:20" s="56" customFormat="1" x14ac:dyDescent="0.25">
      <c r="C156" s="27"/>
      <c r="D156" s="58"/>
      <c r="P156" s="22"/>
      <c r="T156" s="56" t="e">
        <f>VLOOKUP(A156,'CURR FA LIVE'!$A:$A,1,0)</f>
        <v>#N/A</v>
      </c>
    </row>
    <row r="157" spans="3:20" s="56" customFormat="1" x14ac:dyDescent="0.25">
      <c r="C157" s="27"/>
      <c r="D157" s="58"/>
      <c r="P157" s="22"/>
      <c r="T157" s="56" t="e">
        <f>VLOOKUP(A157,'CURR FA LIVE'!$A:$A,1,0)</f>
        <v>#N/A</v>
      </c>
    </row>
    <row r="158" spans="3:20" s="56" customFormat="1" x14ac:dyDescent="0.25">
      <c r="C158" s="27"/>
      <c r="D158" s="58"/>
      <c r="P158" s="22"/>
      <c r="T158" s="56" t="e">
        <f>VLOOKUP(A158,'CURR FA LIVE'!$A:$A,1,0)</f>
        <v>#N/A</v>
      </c>
    </row>
    <row r="159" spans="3:20" s="56" customFormat="1" x14ac:dyDescent="0.25">
      <c r="C159" s="27"/>
      <c r="D159" s="58"/>
      <c r="P159" s="22"/>
      <c r="T159" s="56" t="e">
        <f>VLOOKUP(A159,'CURR FA LIVE'!$A:$A,1,0)</f>
        <v>#N/A</v>
      </c>
    </row>
    <row r="160" spans="3:20" s="56" customFormat="1" x14ac:dyDescent="0.25">
      <c r="C160" s="27"/>
      <c r="D160" s="58"/>
      <c r="P160" s="22"/>
      <c r="T160" s="56" t="e">
        <f>VLOOKUP(A160,'CURR FA LIVE'!$A:$A,1,0)</f>
        <v>#N/A</v>
      </c>
    </row>
    <row r="161" spans="3:20" s="56" customFormat="1" x14ac:dyDescent="0.25">
      <c r="C161" s="27"/>
      <c r="D161" s="58"/>
      <c r="P161" s="22"/>
      <c r="T161" s="56" t="e">
        <f>VLOOKUP(A161,'CURR FA LIVE'!$A:$A,1,0)</f>
        <v>#N/A</v>
      </c>
    </row>
    <row r="162" spans="3:20" s="56" customFormat="1" x14ac:dyDescent="0.25">
      <c r="C162" s="27"/>
      <c r="D162" s="58"/>
      <c r="P162" s="22"/>
      <c r="T162" s="56" t="e">
        <f>VLOOKUP(A162,'CURR FA LIVE'!$A:$A,1,0)</f>
        <v>#N/A</v>
      </c>
    </row>
    <row r="163" spans="3:20" s="56" customFormat="1" x14ac:dyDescent="0.25">
      <c r="C163" s="27"/>
      <c r="D163" s="58"/>
      <c r="P163" s="22"/>
      <c r="T163" s="56" t="e">
        <f>VLOOKUP(A163,'CURR FA LIVE'!$A:$A,1,0)</f>
        <v>#N/A</v>
      </c>
    </row>
    <row r="164" spans="3:20" s="56" customFormat="1" x14ac:dyDescent="0.25">
      <c r="C164" s="27"/>
      <c r="D164" s="58"/>
      <c r="P164" s="22"/>
      <c r="T164" s="56" t="e">
        <f>VLOOKUP(A164,'CURR FA LIVE'!$A:$A,1,0)</f>
        <v>#N/A</v>
      </c>
    </row>
    <row r="165" spans="3:20" s="56" customFormat="1" x14ac:dyDescent="0.25">
      <c r="C165" s="27"/>
      <c r="D165" s="58"/>
      <c r="P165" s="22"/>
      <c r="T165" s="56" t="e">
        <f>VLOOKUP(A165,'CURR FA LIVE'!$A:$A,1,0)</f>
        <v>#N/A</v>
      </c>
    </row>
    <row r="166" spans="3:20" s="56" customFormat="1" x14ac:dyDescent="0.25">
      <c r="C166" s="27"/>
      <c r="D166" s="58"/>
      <c r="P166" s="22"/>
      <c r="T166" s="56" t="e">
        <f>VLOOKUP(A166,'CURR FA LIVE'!$A:$A,1,0)</f>
        <v>#N/A</v>
      </c>
    </row>
    <row r="167" spans="3:20" s="56" customFormat="1" x14ac:dyDescent="0.25">
      <c r="C167" s="27"/>
      <c r="D167" s="58"/>
      <c r="P167" s="22"/>
      <c r="T167" s="56" t="e">
        <f>VLOOKUP(A167,'CURR FA LIVE'!$A:$A,1,0)</f>
        <v>#N/A</v>
      </c>
    </row>
    <row r="168" spans="3:20" s="56" customFormat="1" x14ac:dyDescent="0.25">
      <c r="C168" s="27"/>
      <c r="D168" s="58"/>
      <c r="P168" s="22"/>
      <c r="T168" s="56" t="e">
        <f>VLOOKUP(A168,'CURR FA LIVE'!$A:$A,1,0)</f>
        <v>#N/A</v>
      </c>
    </row>
    <row r="169" spans="3:20" s="56" customFormat="1" x14ac:dyDescent="0.25">
      <c r="C169" s="27"/>
      <c r="D169" s="58"/>
      <c r="P169" s="22"/>
      <c r="T169" s="56" t="e">
        <f>VLOOKUP(A169,'CURR FA LIVE'!$A:$A,1,0)</f>
        <v>#N/A</v>
      </c>
    </row>
    <row r="170" spans="3:20" s="56" customFormat="1" x14ac:dyDescent="0.25">
      <c r="C170" s="27"/>
      <c r="D170" s="58"/>
      <c r="P170" s="22"/>
      <c r="T170" s="56" t="e">
        <f>VLOOKUP(A170,'CURR FA LIVE'!$A:$A,1,0)</f>
        <v>#N/A</v>
      </c>
    </row>
    <row r="171" spans="3:20" s="56" customFormat="1" x14ac:dyDescent="0.25">
      <c r="C171" s="27"/>
      <c r="D171" s="58"/>
      <c r="P171" s="22"/>
      <c r="T171" s="56" t="e">
        <f>VLOOKUP(A171,'CURR FA LIVE'!$A:$A,1,0)</f>
        <v>#N/A</v>
      </c>
    </row>
    <row r="172" spans="3:20" s="56" customFormat="1" x14ac:dyDescent="0.25">
      <c r="C172" s="27"/>
      <c r="D172" s="58"/>
      <c r="P172" s="22"/>
      <c r="T172" s="56" t="e">
        <f>VLOOKUP(A172,'CURR FA LIVE'!$A:$A,1,0)</f>
        <v>#N/A</v>
      </c>
    </row>
    <row r="173" spans="3:20" s="56" customFormat="1" x14ac:dyDescent="0.25">
      <c r="C173" s="27"/>
      <c r="D173" s="58"/>
      <c r="P173" s="22"/>
      <c r="T173" s="56" t="e">
        <f>VLOOKUP(A173,'CURR FA LIVE'!$A:$A,1,0)</f>
        <v>#N/A</v>
      </c>
    </row>
    <row r="174" spans="3:20" s="56" customFormat="1" x14ac:dyDescent="0.25">
      <c r="C174" s="27"/>
      <c r="D174" s="58"/>
      <c r="P174" s="22"/>
      <c r="T174" s="56" t="e">
        <f>VLOOKUP(A174,'CURR FA LIVE'!$A:$A,1,0)</f>
        <v>#N/A</v>
      </c>
    </row>
    <row r="175" spans="3:20" s="56" customFormat="1" x14ac:dyDescent="0.25">
      <c r="C175" s="27"/>
      <c r="D175" s="58"/>
      <c r="P175" s="22"/>
      <c r="T175" s="56" t="e">
        <f>VLOOKUP(A175,'CURR FA LIVE'!$A:$A,1,0)</f>
        <v>#N/A</v>
      </c>
    </row>
    <row r="176" spans="3:20" s="56" customFormat="1" x14ac:dyDescent="0.25">
      <c r="C176" s="27"/>
      <c r="D176" s="58"/>
      <c r="P176" s="22"/>
      <c r="T176" s="56" t="e">
        <f>VLOOKUP(A176,'CURR FA LIVE'!$A:$A,1,0)</f>
        <v>#N/A</v>
      </c>
    </row>
    <row r="177" spans="3:20" s="56" customFormat="1" x14ac:dyDescent="0.25">
      <c r="C177" s="27"/>
      <c r="D177" s="58"/>
      <c r="P177" s="22"/>
      <c r="T177" s="56" t="e">
        <f>VLOOKUP(A177,'CURR FA LIVE'!$A:$A,1,0)</f>
        <v>#N/A</v>
      </c>
    </row>
    <row r="178" spans="3:20" s="56" customFormat="1" x14ac:dyDescent="0.25">
      <c r="C178" s="27"/>
      <c r="D178" s="58"/>
      <c r="P178" s="22"/>
      <c r="T178" s="56" t="e">
        <f>VLOOKUP(A178,'CURR FA LIVE'!$A:$A,1,0)</f>
        <v>#N/A</v>
      </c>
    </row>
    <row r="179" spans="3:20" s="56" customFormat="1" x14ac:dyDescent="0.25">
      <c r="C179" s="27"/>
      <c r="D179" s="58"/>
      <c r="P179" s="22"/>
      <c r="T179" s="56" t="e">
        <f>VLOOKUP(A179,'CURR FA LIVE'!$A:$A,1,0)</f>
        <v>#N/A</v>
      </c>
    </row>
    <row r="180" spans="3:20" s="56" customFormat="1" x14ac:dyDescent="0.25">
      <c r="C180" s="27"/>
      <c r="D180" s="58"/>
      <c r="P180" s="22"/>
      <c r="T180" s="56" t="e">
        <f>VLOOKUP(A180,'CURR FA LIVE'!$A:$A,1,0)</f>
        <v>#N/A</v>
      </c>
    </row>
    <row r="181" spans="3:20" s="56" customFormat="1" x14ac:dyDescent="0.25">
      <c r="C181" s="27"/>
      <c r="D181" s="58"/>
      <c r="P181" s="22"/>
      <c r="T181" s="56" t="e">
        <f>VLOOKUP(A181,'CURR FA LIVE'!$A:$A,1,0)</f>
        <v>#N/A</v>
      </c>
    </row>
    <row r="182" spans="3:20" s="56" customFormat="1" x14ac:dyDescent="0.25">
      <c r="C182" s="27"/>
      <c r="D182" s="58"/>
      <c r="P182" s="22"/>
      <c r="T182" s="56" t="e">
        <f>VLOOKUP(A182,'CURR FA LIVE'!$A:$A,1,0)</f>
        <v>#N/A</v>
      </c>
    </row>
    <row r="183" spans="3:20" s="56" customFormat="1" x14ac:dyDescent="0.25">
      <c r="C183" s="27"/>
      <c r="D183" s="58"/>
      <c r="P183" s="22"/>
      <c r="T183" s="56" t="e">
        <f>VLOOKUP(A183,'CURR FA LIVE'!$A:$A,1,0)</f>
        <v>#N/A</v>
      </c>
    </row>
    <row r="184" spans="3:20" s="56" customFormat="1" x14ac:dyDescent="0.25">
      <c r="C184" s="27"/>
      <c r="D184" s="58"/>
      <c r="P184" s="22"/>
      <c r="T184" s="56" t="e">
        <f>VLOOKUP(A184,'CURR FA LIVE'!$A:$A,1,0)</f>
        <v>#N/A</v>
      </c>
    </row>
    <row r="185" spans="3:20" s="56" customFormat="1" x14ac:dyDescent="0.25">
      <c r="C185" s="27"/>
      <c r="D185" s="58"/>
      <c r="P185" s="22"/>
      <c r="T185" s="56" t="e">
        <f>VLOOKUP(A185,'CURR FA LIVE'!$A:$A,1,0)</f>
        <v>#N/A</v>
      </c>
    </row>
    <row r="186" spans="3:20" s="56" customFormat="1" x14ac:dyDescent="0.25">
      <c r="C186" s="27"/>
      <c r="D186" s="58"/>
      <c r="P186" s="22"/>
      <c r="T186" s="56" t="e">
        <f>VLOOKUP(A186,'CURR FA LIVE'!$A:$A,1,0)</f>
        <v>#N/A</v>
      </c>
    </row>
    <row r="187" spans="3:20" s="56" customFormat="1" x14ac:dyDescent="0.25">
      <c r="C187" s="27"/>
      <c r="D187" s="58"/>
      <c r="P187" s="22"/>
      <c r="T187" s="56" t="e">
        <f>VLOOKUP(A187,'CURR FA LIVE'!$A:$A,1,0)</f>
        <v>#N/A</v>
      </c>
    </row>
    <row r="188" spans="3:20" s="56" customFormat="1" x14ac:dyDescent="0.25">
      <c r="C188" s="27"/>
      <c r="D188" s="58"/>
      <c r="P188" s="22"/>
      <c r="T188" s="56" t="e">
        <f>VLOOKUP(A188,'CURR FA LIVE'!$A:$A,1,0)</f>
        <v>#N/A</v>
      </c>
    </row>
    <row r="189" spans="3:20" s="56" customFormat="1" x14ac:dyDescent="0.25">
      <c r="C189" s="27"/>
      <c r="D189" s="58"/>
      <c r="P189" s="22"/>
      <c r="T189" s="56" t="e">
        <f>VLOOKUP(A189,'CURR FA LIVE'!$A:$A,1,0)</f>
        <v>#N/A</v>
      </c>
    </row>
    <row r="190" spans="3:20" s="56" customFormat="1" x14ac:dyDescent="0.25">
      <c r="C190" s="27"/>
      <c r="D190" s="58"/>
      <c r="P190" s="22"/>
      <c r="T190" s="56" t="e">
        <f>VLOOKUP(A190,'CURR FA LIVE'!$A:$A,1,0)</f>
        <v>#N/A</v>
      </c>
    </row>
    <row r="191" spans="3:20" s="56" customFormat="1" x14ac:dyDescent="0.25">
      <c r="C191" s="27"/>
      <c r="D191" s="58"/>
      <c r="P191" s="22"/>
      <c r="T191" s="56" t="e">
        <f>VLOOKUP(A191,'CURR FA LIVE'!$A:$A,1,0)</f>
        <v>#N/A</v>
      </c>
    </row>
    <row r="192" spans="3:20" s="56" customFormat="1" x14ac:dyDescent="0.25">
      <c r="C192" s="27"/>
      <c r="D192" s="58"/>
      <c r="P192" s="22"/>
      <c r="T192" s="56" t="e">
        <f>VLOOKUP(A192,'CURR FA LIVE'!$A:$A,1,0)</f>
        <v>#N/A</v>
      </c>
    </row>
    <row r="193" spans="3:20" s="56" customFormat="1" x14ac:dyDescent="0.25">
      <c r="C193" s="27"/>
      <c r="D193" s="58"/>
      <c r="P193" s="22"/>
      <c r="T193" s="56" t="e">
        <f>VLOOKUP(A193,'CURR FA LIVE'!$A:$A,1,0)</f>
        <v>#N/A</v>
      </c>
    </row>
    <row r="194" spans="3:20" s="56" customFormat="1" x14ac:dyDescent="0.25">
      <c r="C194" s="27"/>
      <c r="D194" s="58"/>
      <c r="P194" s="22"/>
      <c r="T194" s="56" t="e">
        <f>VLOOKUP(A194,'CURR FA LIVE'!$A:$A,1,0)</f>
        <v>#N/A</v>
      </c>
    </row>
    <row r="195" spans="3:20" s="56" customFormat="1" x14ac:dyDescent="0.25">
      <c r="C195" s="27"/>
      <c r="D195" s="58"/>
      <c r="P195" s="22"/>
      <c r="T195" s="56" t="e">
        <f>VLOOKUP(A195,'CURR FA LIVE'!$A:$A,1,0)</f>
        <v>#N/A</v>
      </c>
    </row>
    <row r="196" spans="3:20" s="56" customFormat="1" x14ac:dyDescent="0.25">
      <c r="C196" s="27"/>
      <c r="D196" s="58"/>
      <c r="P196" s="22"/>
      <c r="T196" s="56" t="e">
        <f>VLOOKUP(A196,'CURR FA LIVE'!$A:$A,1,0)</f>
        <v>#N/A</v>
      </c>
    </row>
    <row r="197" spans="3:20" s="56" customFormat="1" x14ac:dyDescent="0.25">
      <c r="C197" s="27"/>
      <c r="D197" s="58"/>
      <c r="P197" s="22"/>
      <c r="T197" s="56" t="e">
        <f>VLOOKUP(A197,'CURR FA LIVE'!$A:$A,1,0)</f>
        <v>#N/A</v>
      </c>
    </row>
    <row r="198" spans="3:20" s="56" customFormat="1" x14ac:dyDescent="0.25">
      <c r="C198" s="27"/>
      <c r="D198" s="58"/>
      <c r="P198" s="22"/>
      <c r="T198" s="56" t="e">
        <f>VLOOKUP(A198,'CURR FA LIVE'!$A:$A,1,0)</f>
        <v>#N/A</v>
      </c>
    </row>
    <row r="199" spans="3:20" s="56" customFormat="1" x14ac:dyDescent="0.25">
      <c r="C199" s="27"/>
      <c r="D199" s="58"/>
      <c r="P199" s="22"/>
      <c r="T199" s="56" t="e">
        <f>VLOOKUP(A199,'CURR FA LIVE'!$A:$A,1,0)</f>
        <v>#N/A</v>
      </c>
    </row>
    <row r="200" spans="3:20" s="56" customFormat="1" x14ac:dyDescent="0.25">
      <c r="C200" s="27"/>
      <c r="D200" s="58"/>
      <c r="P200" s="22"/>
      <c r="T200" s="56" t="e">
        <f>VLOOKUP(A200,'CURR FA LIVE'!$A:$A,1,0)</f>
        <v>#N/A</v>
      </c>
    </row>
    <row r="201" spans="3:20" s="56" customFormat="1" x14ac:dyDescent="0.25">
      <c r="C201" s="27"/>
      <c r="D201" s="58"/>
      <c r="P201" s="22"/>
      <c r="T201" s="56" t="e">
        <f>VLOOKUP(A201,'CURR FA LIVE'!$A:$A,1,0)</f>
        <v>#N/A</v>
      </c>
    </row>
    <row r="202" spans="3:20" s="56" customFormat="1" x14ac:dyDescent="0.25">
      <c r="C202" s="27"/>
      <c r="D202" s="58"/>
      <c r="P202" s="22"/>
      <c r="T202" s="56" t="e">
        <f>VLOOKUP(A202,'CURR FA LIVE'!$A:$A,1,0)</f>
        <v>#N/A</v>
      </c>
    </row>
    <row r="203" spans="3:20" s="56" customFormat="1" x14ac:dyDescent="0.25">
      <c r="C203" s="27"/>
      <c r="D203" s="58"/>
      <c r="P203" s="22"/>
      <c r="T203" s="56" t="e">
        <f>VLOOKUP(A203,'CURR FA LIVE'!$A:$A,1,0)</f>
        <v>#N/A</v>
      </c>
    </row>
    <row r="204" spans="3:20" s="56" customFormat="1" x14ac:dyDescent="0.25">
      <c r="C204" s="27"/>
      <c r="D204" s="58"/>
      <c r="P204" s="22"/>
      <c r="T204" s="56" t="e">
        <f>VLOOKUP(A204,'CURR FA LIVE'!$A:$A,1,0)</f>
        <v>#N/A</v>
      </c>
    </row>
    <row r="205" spans="3:20" s="56" customFormat="1" x14ac:dyDescent="0.25">
      <c r="C205" s="27"/>
      <c r="D205" s="58"/>
      <c r="P205" s="22"/>
      <c r="T205" s="56" t="e">
        <f>VLOOKUP(A205,'CURR FA LIVE'!$A:$A,1,0)</f>
        <v>#N/A</v>
      </c>
    </row>
    <row r="206" spans="3:20" s="56" customFormat="1" x14ac:dyDescent="0.25">
      <c r="C206" s="27"/>
      <c r="D206" s="58"/>
      <c r="P206" s="22"/>
      <c r="T206" s="56" t="e">
        <f>VLOOKUP(A206,'CURR FA LIVE'!$A:$A,1,0)</f>
        <v>#N/A</v>
      </c>
    </row>
    <row r="207" spans="3:20" s="56" customFormat="1" x14ac:dyDescent="0.25">
      <c r="C207" s="27"/>
      <c r="D207" s="58"/>
      <c r="P207" s="22"/>
      <c r="T207" s="56" t="e">
        <f>VLOOKUP(A207,'CURR FA LIVE'!$A:$A,1,0)</f>
        <v>#N/A</v>
      </c>
    </row>
    <row r="208" spans="3:20" s="56" customFormat="1" x14ac:dyDescent="0.25">
      <c r="C208" s="27"/>
      <c r="D208" s="58"/>
      <c r="P208" s="22"/>
      <c r="T208" s="56" t="e">
        <f>VLOOKUP(A208,'CURR FA LIVE'!$A:$A,1,0)</f>
        <v>#N/A</v>
      </c>
    </row>
    <row r="209" spans="3:20" s="56" customFormat="1" x14ac:dyDescent="0.25">
      <c r="C209" s="27"/>
      <c r="D209" s="58"/>
      <c r="P209" s="22"/>
      <c r="T209" s="56" t="e">
        <f>VLOOKUP(A209,'CURR FA LIVE'!$A:$A,1,0)</f>
        <v>#N/A</v>
      </c>
    </row>
    <row r="210" spans="3:20" s="56" customFormat="1" x14ac:dyDescent="0.25">
      <c r="C210" s="27"/>
      <c r="D210" s="58"/>
      <c r="P210" s="22"/>
      <c r="T210" s="56" t="e">
        <f>VLOOKUP(A210,'CURR FA LIVE'!$A:$A,1,0)</f>
        <v>#N/A</v>
      </c>
    </row>
    <row r="211" spans="3:20" s="56" customFormat="1" x14ac:dyDescent="0.25">
      <c r="C211" s="27"/>
      <c r="D211" s="58"/>
      <c r="P211" s="22"/>
      <c r="T211" s="56" t="e">
        <f>VLOOKUP(A211,'CURR FA LIVE'!$A:$A,1,0)</f>
        <v>#N/A</v>
      </c>
    </row>
    <row r="212" spans="3:20" s="56" customFormat="1" x14ac:dyDescent="0.25">
      <c r="C212" s="27"/>
      <c r="D212" s="58"/>
      <c r="P212" s="22"/>
      <c r="T212" s="56" t="e">
        <f>VLOOKUP(A212,'CURR FA LIVE'!$A:$A,1,0)</f>
        <v>#N/A</v>
      </c>
    </row>
    <row r="213" spans="3:20" s="56" customFormat="1" x14ac:dyDescent="0.25">
      <c r="C213" s="27"/>
      <c r="D213" s="58"/>
      <c r="P213" s="22"/>
      <c r="T213" s="56" t="e">
        <f>VLOOKUP(A213,'CURR FA LIVE'!$A:$A,1,0)</f>
        <v>#N/A</v>
      </c>
    </row>
    <row r="214" spans="3:20" s="56" customFormat="1" x14ac:dyDescent="0.25">
      <c r="C214" s="27"/>
      <c r="D214" s="58"/>
      <c r="P214" s="22"/>
      <c r="T214" s="56" t="e">
        <f>VLOOKUP(A214,'CURR FA LIVE'!$A:$A,1,0)</f>
        <v>#N/A</v>
      </c>
    </row>
    <row r="215" spans="3:20" s="56" customFormat="1" x14ac:dyDescent="0.25">
      <c r="C215" s="27"/>
      <c r="D215" s="58"/>
      <c r="P215" s="22"/>
      <c r="T215" s="56" t="e">
        <f>VLOOKUP(A215,'CURR FA LIVE'!$A:$A,1,0)</f>
        <v>#N/A</v>
      </c>
    </row>
    <row r="216" spans="3:20" s="56" customFormat="1" x14ac:dyDescent="0.25">
      <c r="C216" s="27"/>
      <c r="D216" s="58"/>
      <c r="P216" s="22"/>
      <c r="T216" s="56" t="e">
        <f>VLOOKUP(A216,'CURR FA LIVE'!$A:$A,1,0)</f>
        <v>#N/A</v>
      </c>
    </row>
    <row r="217" spans="3:20" s="56" customFormat="1" x14ac:dyDescent="0.25">
      <c r="C217" s="27"/>
      <c r="D217" s="58"/>
      <c r="P217" s="22"/>
      <c r="T217" s="56" t="e">
        <f>VLOOKUP(A217,'CURR FA LIVE'!$A:$A,1,0)</f>
        <v>#N/A</v>
      </c>
    </row>
    <row r="218" spans="3:20" s="56" customFormat="1" x14ac:dyDescent="0.25">
      <c r="C218" s="27"/>
      <c r="D218" s="58"/>
      <c r="P218" s="22"/>
      <c r="T218" s="56" t="e">
        <f>VLOOKUP(A218,'CURR FA LIVE'!$A:$A,1,0)</f>
        <v>#N/A</v>
      </c>
    </row>
    <row r="219" spans="3:20" s="56" customFormat="1" x14ac:dyDescent="0.25">
      <c r="C219" s="27"/>
      <c r="D219" s="58"/>
      <c r="P219" s="22"/>
      <c r="T219" s="56" t="e">
        <f>VLOOKUP(A219,'CURR FA LIVE'!$A:$A,1,0)</f>
        <v>#N/A</v>
      </c>
    </row>
    <row r="220" spans="3:20" s="56" customFormat="1" x14ac:dyDescent="0.25">
      <c r="C220" s="27"/>
      <c r="D220" s="58"/>
      <c r="P220" s="22"/>
      <c r="T220" s="56" t="e">
        <f>VLOOKUP(A220,'CURR FA LIVE'!$A:$A,1,0)</f>
        <v>#N/A</v>
      </c>
    </row>
    <row r="221" spans="3:20" s="56" customFormat="1" x14ac:dyDescent="0.25">
      <c r="C221" s="27"/>
      <c r="D221" s="58"/>
      <c r="P221" s="22"/>
      <c r="T221" s="56" t="e">
        <f>VLOOKUP(A221,'CURR FA LIVE'!$A:$A,1,0)</f>
        <v>#N/A</v>
      </c>
    </row>
    <row r="222" spans="3:20" s="56" customFormat="1" x14ac:dyDescent="0.25">
      <c r="C222" s="27"/>
      <c r="D222" s="58"/>
      <c r="P222" s="22"/>
      <c r="T222" s="56" t="e">
        <f>VLOOKUP(A222,'CURR FA LIVE'!$A:$A,1,0)</f>
        <v>#N/A</v>
      </c>
    </row>
    <row r="223" spans="3:20" s="56" customFormat="1" x14ac:dyDescent="0.25">
      <c r="C223" s="27"/>
      <c r="D223" s="58"/>
      <c r="P223" s="22"/>
      <c r="T223" s="56" t="e">
        <f>VLOOKUP(A223,'CURR FA LIVE'!$A:$A,1,0)</f>
        <v>#N/A</v>
      </c>
    </row>
    <row r="224" spans="3:20" s="56" customFormat="1" x14ac:dyDescent="0.25">
      <c r="C224" s="27"/>
      <c r="D224" s="58"/>
      <c r="P224" s="22"/>
      <c r="T224" s="56" t="e">
        <f>VLOOKUP(A224,'CURR FA LIVE'!$A:$A,1,0)</f>
        <v>#N/A</v>
      </c>
    </row>
    <row r="225" spans="20:20" x14ac:dyDescent="0.25">
      <c r="T225" s="56" t="e">
        <f>VLOOKUP(A225,'CURR FA LIVE'!$A:$A,1,0)</f>
        <v>#N/A</v>
      </c>
    </row>
    <row r="226" spans="20:20" x14ac:dyDescent="0.25">
      <c r="T226" s="56" t="e">
        <f>VLOOKUP(A226,'CURR FA LIVE'!$A:$A,1,0)</f>
        <v>#N/A</v>
      </c>
    </row>
    <row r="227" spans="20:20" x14ac:dyDescent="0.25">
      <c r="T227" s="56" t="e">
        <f>VLOOKUP(A227,'CURR FA LIVE'!$A:$A,1,0)</f>
        <v>#N/A</v>
      </c>
    </row>
    <row r="228" spans="20:20" x14ac:dyDescent="0.25">
      <c r="T228" s="56" t="e">
        <f>VLOOKUP(A228,'CURR FA LIVE'!$A:$A,1,0)</f>
        <v>#N/A</v>
      </c>
    </row>
    <row r="229" spans="20:20" x14ac:dyDescent="0.25">
      <c r="T229" s="56" t="e">
        <f>VLOOKUP(A229,'CURR FA LIVE'!$A:$A,1,0)</f>
        <v>#N/A</v>
      </c>
    </row>
  </sheetData>
  <conditionalFormatting sqref="A1">
    <cfRule type="duplicateValues" dxfId="72" priority="240"/>
  </conditionalFormatting>
  <conditionalFormatting sqref="A133:A224">
    <cfRule type="duplicateValues" dxfId="68" priority="14"/>
    <cfRule type="duplicateValues" dxfId="67" priority="15"/>
  </conditionalFormatting>
  <conditionalFormatting sqref="A133:A224">
    <cfRule type="duplicateValues" dxfId="66" priority="1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"/>
  <sheetViews>
    <sheetView zoomScale="85" zoomScaleNormal="85" workbookViewId="0">
      <selection activeCell="A2" sqref="A2:A127"/>
    </sheetView>
  </sheetViews>
  <sheetFormatPr defaultRowHeight="15" x14ac:dyDescent="0.25"/>
  <sheetData>
    <row r="1" spans="1:2" s="18" customFormat="1" x14ac:dyDescent="0.25">
      <c r="A1" s="26" t="s">
        <v>35</v>
      </c>
    </row>
    <row r="3" spans="1:2" x14ac:dyDescent="0.25">
      <c r="B3" s="56"/>
    </row>
    <row r="4" spans="1:2" x14ac:dyDescent="0.25">
      <c r="B4" s="56"/>
    </row>
    <row r="5" spans="1:2" x14ac:dyDescent="0.25">
      <c r="B5" s="56"/>
    </row>
    <row r="6" spans="1:2" x14ac:dyDescent="0.25">
      <c r="B6" s="56"/>
    </row>
    <row r="7" spans="1:2" x14ac:dyDescent="0.25">
      <c r="B7" s="56"/>
    </row>
    <row r="8" spans="1:2" x14ac:dyDescent="0.25">
      <c r="B8" s="56"/>
    </row>
    <row r="9" spans="1:2" x14ac:dyDescent="0.25">
      <c r="B9" s="56"/>
    </row>
    <row r="10" spans="1:2" x14ac:dyDescent="0.25">
      <c r="B10" s="56"/>
    </row>
    <row r="11" spans="1:2" x14ac:dyDescent="0.25">
      <c r="B11" s="56"/>
    </row>
    <row r="12" spans="1:2" x14ac:dyDescent="0.25">
      <c r="B12" s="56"/>
    </row>
    <row r="13" spans="1:2" x14ac:dyDescent="0.25">
      <c r="B13" s="56"/>
    </row>
    <row r="14" spans="1:2" x14ac:dyDescent="0.25">
      <c r="B14" s="56"/>
    </row>
    <row r="15" spans="1:2" x14ac:dyDescent="0.25">
      <c r="B15" s="56"/>
    </row>
    <row r="16" spans="1:2" x14ac:dyDescent="0.25">
      <c r="B16" s="56"/>
    </row>
    <row r="17" spans="2:2" x14ac:dyDescent="0.25">
      <c r="B17" s="56"/>
    </row>
    <row r="18" spans="2:2" x14ac:dyDescent="0.25">
      <c r="B18" s="56"/>
    </row>
    <row r="19" spans="2:2" x14ac:dyDescent="0.25">
      <c r="B19" s="56"/>
    </row>
    <row r="20" spans="2:2" x14ac:dyDescent="0.25">
      <c r="B20" s="56"/>
    </row>
    <row r="21" spans="2:2" x14ac:dyDescent="0.25">
      <c r="B21" s="56"/>
    </row>
    <row r="22" spans="2:2" x14ac:dyDescent="0.25">
      <c r="B22" s="56"/>
    </row>
    <row r="23" spans="2:2" x14ac:dyDescent="0.25">
      <c r="B23" s="56"/>
    </row>
    <row r="24" spans="2:2" x14ac:dyDescent="0.25">
      <c r="B24" s="56"/>
    </row>
    <row r="25" spans="2:2" x14ac:dyDescent="0.25">
      <c r="B25" s="56"/>
    </row>
    <row r="26" spans="2:2" x14ac:dyDescent="0.25">
      <c r="B26" s="56"/>
    </row>
    <row r="27" spans="2:2" x14ac:dyDescent="0.25">
      <c r="B27" s="56"/>
    </row>
    <row r="28" spans="2:2" x14ac:dyDescent="0.25">
      <c r="B28" s="56"/>
    </row>
    <row r="29" spans="2:2" x14ac:dyDescent="0.25">
      <c r="B29" s="56"/>
    </row>
    <row r="30" spans="2:2" x14ac:dyDescent="0.25">
      <c r="B30" s="56"/>
    </row>
    <row r="31" spans="2:2" x14ac:dyDescent="0.25">
      <c r="B31" s="56"/>
    </row>
    <row r="32" spans="2:2" x14ac:dyDescent="0.25">
      <c r="B32" s="56"/>
    </row>
    <row r="33" spans="2:2" x14ac:dyDescent="0.25">
      <c r="B33" s="56"/>
    </row>
    <row r="34" spans="2:2" x14ac:dyDescent="0.25">
      <c r="B34" s="56"/>
    </row>
    <row r="35" spans="2:2" x14ac:dyDescent="0.25">
      <c r="B35" s="56"/>
    </row>
    <row r="36" spans="2:2" x14ac:dyDescent="0.25">
      <c r="B36" s="56"/>
    </row>
    <row r="37" spans="2:2" x14ac:dyDescent="0.25">
      <c r="B37" s="56"/>
    </row>
    <row r="38" spans="2:2" x14ac:dyDescent="0.25">
      <c r="B38" s="56"/>
    </row>
    <row r="39" spans="2:2" x14ac:dyDescent="0.25">
      <c r="B39" s="56"/>
    </row>
    <row r="40" spans="2:2" x14ac:dyDescent="0.25">
      <c r="B40" s="56"/>
    </row>
    <row r="41" spans="2:2" x14ac:dyDescent="0.25">
      <c r="B41" s="56"/>
    </row>
    <row r="42" spans="2:2" x14ac:dyDescent="0.25">
      <c r="B42" s="56"/>
    </row>
    <row r="43" spans="2:2" x14ac:dyDescent="0.25">
      <c r="B43" s="56"/>
    </row>
    <row r="44" spans="2:2" x14ac:dyDescent="0.25">
      <c r="B44" s="56"/>
    </row>
    <row r="45" spans="2:2" x14ac:dyDescent="0.25">
      <c r="B45" s="56"/>
    </row>
    <row r="46" spans="2:2" x14ac:dyDescent="0.25">
      <c r="B46" s="56"/>
    </row>
    <row r="47" spans="2:2" x14ac:dyDescent="0.25">
      <c r="B47" s="56"/>
    </row>
    <row r="48" spans="2:2" x14ac:dyDescent="0.25">
      <c r="B48" s="56"/>
    </row>
    <row r="49" spans="2:2" x14ac:dyDescent="0.25">
      <c r="B49" s="56"/>
    </row>
    <row r="50" spans="2:2" x14ac:dyDescent="0.25">
      <c r="B50" s="56"/>
    </row>
    <row r="51" spans="2:2" x14ac:dyDescent="0.25">
      <c r="B51" s="56"/>
    </row>
    <row r="52" spans="2:2" x14ac:dyDescent="0.25">
      <c r="B52" s="56"/>
    </row>
    <row r="53" spans="2:2" x14ac:dyDescent="0.25">
      <c r="B53" s="56"/>
    </row>
    <row r="54" spans="2:2" x14ac:dyDescent="0.25">
      <c r="B54" s="56"/>
    </row>
    <row r="55" spans="2:2" x14ac:dyDescent="0.25">
      <c r="B55" s="56"/>
    </row>
    <row r="56" spans="2:2" x14ac:dyDescent="0.25">
      <c r="B56" s="56"/>
    </row>
    <row r="57" spans="2:2" x14ac:dyDescent="0.25">
      <c r="B57" s="56"/>
    </row>
    <row r="58" spans="2:2" x14ac:dyDescent="0.25">
      <c r="B58" s="56"/>
    </row>
    <row r="59" spans="2:2" x14ac:dyDescent="0.25">
      <c r="B59" s="56"/>
    </row>
    <row r="60" spans="2:2" x14ac:dyDescent="0.25">
      <c r="B60" s="56"/>
    </row>
    <row r="61" spans="2:2" x14ac:dyDescent="0.25">
      <c r="B61" s="56"/>
    </row>
    <row r="62" spans="2:2" x14ac:dyDescent="0.25">
      <c r="B62" s="56"/>
    </row>
    <row r="63" spans="2:2" x14ac:dyDescent="0.25">
      <c r="B63" s="56"/>
    </row>
    <row r="64" spans="2:2" x14ac:dyDescent="0.25">
      <c r="B64" s="56"/>
    </row>
    <row r="65" spans="2:2" x14ac:dyDescent="0.25">
      <c r="B65" s="56"/>
    </row>
    <row r="66" spans="2:2" x14ac:dyDescent="0.25">
      <c r="B66" s="56"/>
    </row>
    <row r="67" spans="2:2" x14ac:dyDescent="0.25">
      <c r="B67" s="56"/>
    </row>
    <row r="68" spans="2:2" x14ac:dyDescent="0.25">
      <c r="B68" s="56"/>
    </row>
    <row r="69" spans="2:2" x14ac:dyDescent="0.25">
      <c r="B69" s="56"/>
    </row>
    <row r="70" spans="2:2" x14ac:dyDescent="0.25">
      <c r="B70" s="56"/>
    </row>
    <row r="71" spans="2:2" x14ac:dyDescent="0.25">
      <c r="B71" s="56"/>
    </row>
    <row r="72" spans="2:2" x14ac:dyDescent="0.25">
      <c r="B72" s="56"/>
    </row>
    <row r="73" spans="2:2" x14ac:dyDescent="0.25">
      <c r="B73" s="56"/>
    </row>
    <row r="74" spans="2:2" x14ac:dyDescent="0.25">
      <c r="B74" s="56"/>
    </row>
    <row r="75" spans="2:2" x14ac:dyDescent="0.25">
      <c r="B75" s="56"/>
    </row>
    <row r="76" spans="2:2" x14ac:dyDescent="0.25">
      <c r="B76" s="56"/>
    </row>
    <row r="77" spans="2:2" x14ac:dyDescent="0.25">
      <c r="B77" s="56"/>
    </row>
    <row r="78" spans="2:2" x14ac:dyDescent="0.25">
      <c r="B78" s="56"/>
    </row>
    <row r="79" spans="2:2" x14ac:dyDescent="0.25">
      <c r="B79" s="56"/>
    </row>
    <row r="80" spans="2:2" x14ac:dyDescent="0.25">
      <c r="B80" s="56"/>
    </row>
    <row r="81" spans="2:2" x14ac:dyDescent="0.25">
      <c r="B81" s="56"/>
    </row>
    <row r="82" spans="2:2" x14ac:dyDescent="0.25">
      <c r="B82" s="56"/>
    </row>
    <row r="83" spans="2:2" x14ac:dyDescent="0.25">
      <c r="B83" s="56"/>
    </row>
    <row r="84" spans="2:2" x14ac:dyDescent="0.25">
      <c r="B84" s="56"/>
    </row>
    <row r="85" spans="2:2" x14ac:dyDescent="0.25">
      <c r="B85" s="56"/>
    </row>
    <row r="86" spans="2:2" x14ac:dyDescent="0.25">
      <c r="B86" s="56"/>
    </row>
    <row r="87" spans="2:2" x14ac:dyDescent="0.25">
      <c r="B87" s="56"/>
    </row>
    <row r="88" spans="2:2" x14ac:dyDescent="0.25">
      <c r="B88" s="56"/>
    </row>
    <row r="89" spans="2:2" x14ac:dyDescent="0.25">
      <c r="B89" s="56"/>
    </row>
    <row r="90" spans="2:2" x14ac:dyDescent="0.25">
      <c r="B90" s="56"/>
    </row>
    <row r="91" spans="2:2" x14ac:dyDescent="0.25">
      <c r="B91" s="56"/>
    </row>
    <row r="92" spans="2:2" x14ac:dyDescent="0.25">
      <c r="B92" s="56"/>
    </row>
    <row r="93" spans="2:2" x14ac:dyDescent="0.25">
      <c r="B93" s="56"/>
    </row>
    <row r="94" spans="2:2" x14ac:dyDescent="0.25">
      <c r="B94" s="56"/>
    </row>
    <row r="95" spans="2:2" x14ac:dyDescent="0.25">
      <c r="B95" s="56"/>
    </row>
    <row r="96" spans="2:2" x14ac:dyDescent="0.25">
      <c r="B96" s="56"/>
    </row>
    <row r="97" spans="2:2" x14ac:dyDescent="0.25">
      <c r="B97" s="56"/>
    </row>
    <row r="98" spans="2:2" x14ac:dyDescent="0.25">
      <c r="B98" s="56"/>
    </row>
    <row r="99" spans="2:2" x14ac:dyDescent="0.25">
      <c r="B99" s="56"/>
    </row>
    <row r="100" spans="2:2" x14ac:dyDescent="0.25">
      <c r="B100" s="56"/>
    </row>
    <row r="101" spans="2:2" x14ac:dyDescent="0.25">
      <c r="B101" s="56"/>
    </row>
    <row r="102" spans="2:2" x14ac:dyDescent="0.25">
      <c r="B102" s="56"/>
    </row>
    <row r="103" spans="2:2" x14ac:dyDescent="0.25">
      <c r="B103" s="56"/>
    </row>
    <row r="104" spans="2:2" x14ac:dyDescent="0.25">
      <c r="B104" s="56"/>
    </row>
    <row r="105" spans="2:2" x14ac:dyDescent="0.25">
      <c r="B105" s="56"/>
    </row>
    <row r="106" spans="2:2" x14ac:dyDescent="0.25">
      <c r="B106" s="56"/>
    </row>
    <row r="107" spans="2:2" x14ac:dyDescent="0.25">
      <c r="B107" s="56"/>
    </row>
    <row r="108" spans="2:2" x14ac:dyDescent="0.25">
      <c r="B108" s="56"/>
    </row>
    <row r="109" spans="2:2" x14ac:dyDescent="0.25">
      <c r="B109" s="56"/>
    </row>
    <row r="110" spans="2:2" x14ac:dyDescent="0.25">
      <c r="B110" s="56"/>
    </row>
    <row r="111" spans="2:2" x14ac:dyDescent="0.25">
      <c r="B111" s="56"/>
    </row>
    <row r="112" spans="2:2" x14ac:dyDescent="0.25">
      <c r="B112" s="56"/>
    </row>
    <row r="113" spans="2:2" x14ac:dyDescent="0.25">
      <c r="B113" s="56"/>
    </row>
    <row r="114" spans="2:2" x14ac:dyDescent="0.25">
      <c r="B114" s="56"/>
    </row>
    <row r="115" spans="2:2" x14ac:dyDescent="0.25">
      <c r="B115" s="56"/>
    </row>
    <row r="116" spans="2:2" x14ac:dyDescent="0.25">
      <c r="B116" s="56"/>
    </row>
    <row r="117" spans="2:2" x14ac:dyDescent="0.25">
      <c r="B117" s="56"/>
    </row>
    <row r="118" spans="2:2" x14ac:dyDescent="0.25">
      <c r="B118" s="56"/>
    </row>
    <row r="119" spans="2:2" x14ac:dyDescent="0.25">
      <c r="B119" s="56"/>
    </row>
    <row r="120" spans="2:2" x14ac:dyDescent="0.25">
      <c r="B120" s="56"/>
    </row>
    <row r="121" spans="2:2" x14ac:dyDescent="0.25">
      <c r="B121" s="56"/>
    </row>
    <row r="122" spans="2:2" x14ac:dyDescent="0.25">
      <c r="B122" s="56"/>
    </row>
    <row r="123" spans="2:2" x14ac:dyDescent="0.25">
      <c r="B123" s="56"/>
    </row>
    <row r="124" spans="2:2" x14ac:dyDescent="0.25">
      <c r="B124" s="56"/>
    </row>
    <row r="125" spans="2:2" x14ac:dyDescent="0.25">
      <c r="B125" s="56"/>
    </row>
    <row r="126" spans="2:2" x14ac:dyDescent="0.25">
      <c r="B126" s="56"/>
    </row>
    <row r="127" spans="2:2" x14ac:dyDescent="0.25">
      <c r="B127" s="56"/>
    </row>
    <row r="128" spans="2:2" x14ac:dyDescent="0.25">
      <c r="B128" s="56"/>
    </row>
    <row r="129" spans="2:2" x14ac:dyDescent="0.25">
      <c r="B129" s="56"/>
    </row>
    <row r="130" spans="2:2" x14ac:dyDescent="0.25">
      <c r="B130" s="56"/>
    </row>
    <row r="131" spans="2:2" x14ac:dyDescent="0.25">
      <c r="B131" s="56"/>
    </row>
    <row r="132" spans="2:2" x14ac:dyDescent="0.25">
      <c r="B132" s="56"/>
    </row>
    <row r="133" spans="2:2" x14ac:dyDescent="0.25">
      <c r="B133" s="56"/>
    </row>
    <row r="134" spans="2:2" x14ac:dyDescent="0.25">
      <c r="B134" s="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0"/>
  <sheetViews>
    <sheetView topLeftCell="A13" zoomScale="80" zoomScaleNormal="80" workbookViewId="0">
      <selection activeCell="I27" sqref="I27"/>
    </sheetView>
  </sheetViews>
  <sheetFormatPr defaultRowHeight="12.75" x14ac:dyDescent="0.2"/>
  <cols>
    <col min="1" max="1" width="12.85546875" style="46" customWidth="1"/>
    <col min="2" max="2" width="36.42578125" style="46" customWidth="1"/>
    <col min="3" max="3" width="24.42578125" style="46" customWidth="1"/>
    <col min="4" max="4" width="15.140625" style="46" bestFit="1" customWidth="1"/>
    <col min="5" max="5" width="17.85546875" style="46" customWidth="1"/>
    <col min="6" max="6" width="14.28515625" style="49" bestFit="1" customWidth="1"/>
    <col min="7" max="7" width="9.140625" style="3"/>
    <col min="8" max="8" width="14.28515625" style="3" bestFit="1" customWidth="1"/>
    <col min="9" max="9" width="13.7109375" style="3" customWidth="1"/>
    <col min="10" max="10" width="16.140625" style="3" customWidth="1"/>
    <col min="11" max="11" width="9.140625" style="3"/>
    <col min="12" max="12" width="22.85546875" style="3" bestFit="1" customWidth="1"/>
    <col min="13" max="13" width="10.28515625" style="3" bestFit="1" customWidth="1"/>
    <col min="14" max="14" width="13.28515625" style="3" customWidth="1"/>
    <col min="15" max="15" width="12.5703125" style="3" customWidth="1"/>
    <col min="16" max="16384" width="9.140625" style="3"/>
  </cols>
  <sheetData>
    <row r="1" spans="1:6" thickBot="1" x14ac:dyDescent="0.25">
      <c r="A1" s="34"/>
      <c r="B1" s="3"/>
      <c r="C1" s="3"/>
      <c r="D1" s="3"/>
      <c r="E1" s="3"/>
      <c r="F1" s="20"/>
    </row>
    <row r="2" spans="1:6" ht="13.5" thickBot="1" x14ac:dyDescent="0.25">
      <c r="A2" s="40" t="s">
        <v>37</v>
      </c>
      <c r="B2" s="41" t="s">
        <v>38</v>
      </c>
      <c r="C2" s="41" t="s">
        <v>39</v>
      </c>
      <c r="D2" s="42" t="s">
        <v>40</v>
      </c>
      <c r="E2" s="3"/>
      <c r="F2" s="20"/>
    </row>
    <row r="3" spans="1:6" ht="13.5" thickBot="1" x14ac:dyDescent="0.25">
      <c r="A3" s="43" t="s">
        <v>21</v>
      </c>
      <c r="B3" s="44">
        <f>IFERROR(COMPARISON!B3,0)</f>
        <v>-8000</v>
      </c>
      <c r="C3" s="44">
        <f>IFERROR(COMPARISON!C3,0)</f>
        <v>8000</v>
      </c>
      <c r="D3" s="45">
        <f>B3+C3</f>
        <v>0</v>
      </c>
      <c r="E3" s="3"/>
      <c r="F3" s="20"/>
    </row>
    <row r="4" spans="1:6" ht="13.5" thickBot="1" x14ac:dyDescent="0.25">
      <c r="A4" s="43" t="s">
        <v>19</v>
      </c>
      <c r="B4" s="44">
        <f>IFERROR(COMPARISON!B4,0)</f>
        <v>1000000</v>
      </c>
      <c r="C4" s="44">
        <f>IFERROR(COMPARISON!C4,0)</f>
        <v>-1000000</v>
      </c>
      <c r="D4" s="45">
        <f t="shared" ref="D4:D32" si="0">B4+C4</f>
        <v>0</v>
      </c>
      <c r="E4" s="3"/>
      <c r="F4" s="20"/>
    </row>
    <row r="5" spans="1:6" ht="13.5" thickBot="1" x14ac:dyDescent="0.25">
      <c r="A5" s="43" t="s">
        <v>42</v>
      </c>
      <c r="B5" s="44">
        <f>IFERROR(COMPARISON!B5,0)</f>
        <v>0</v>
      </c>
      <c r="C5" s="44">
        <f>IFERROR(COMPARISON!C5,0)</f>
        <v>0</v>
      </c>
      <c r="D5" s="45">
        <f t="shared" si="0"/>
        <v>0</v>
      </c>
      <c r="E5" s="3"/>
      <c r="F5" s="20"/>
    </row>
    <row r="6" spans="1:6" ht="13.5" thickBot="1" x14ac:dyDescent="0.25">
      <c r="A6" s="43" t="s">
        <v>43</v>
      </c>
      <c r="B6" s="44">
        <f>IFERROR(COMPARISON!B6,0)</f>
        <v>0</v>
      </c>
      <c r="C6" s="44">
        <f>IFERROR(COMPARISON!C6,0)</f>
        <v>0</v>
      </c>
      <c r="D6" s="45">
        <f t="shared" si="0"/>
        <v>0</v>
      </c>
      <c r="E6" s="3"/>
      <c r="F6" s="20"/>
    </row>
    <row r="7" spans="1:6" ht="13.5" thickBot="1" x14ac:dyDescent="0.25">
      <c r="A7" s="43" t="s">
        <v>23</v>
      </c>
      <c r="B7" s="44">
        <f>IFERROR(COMPARISON!B7,0)</f>
        <v>-20000</v>
      </c>
      <c r="C7" s="44">
        <f>IFERROR(COMPARISON!C7,0)</f>
        <v>20000</v>
      </c>
      <c r="D7" s="45">
        <f>B7+C7</f>
        <v>0</v>
      </c>
      <c r="E7" s="3"/>
      <c r="F7" s="20"/>
    </row>
    <row r="8" spans="1:6" ht="13.5" thickBot="1" x14ac:dyDescent="0.25">
      <c r="A8" s="43" t="s">
        <v>44</v>
      </c>
      <c r="B8" s="44">
        <f>IFERROR(COMPARISON!B8,0)</f>
        <v>10747</v>
      </c>
      <c r="C8" s="44">
        <f>IFERROR(COMPARISON!C8,0)</f>
        <v>-10747</v>
      </c>
      <c r="D8" s="45">
        <f t="shared" si="0"/>
        <v>0</v>
      </c>
      <c r="E8" s="3"/>
      <c r="F8" s="20"/>
    </row>
    <row r="9" spans="1:6" ht="13.5" thickBot="1" x14ac:dyDescent="0.25">
      <c r="A9" s="43" t="s">
        <v>45</v>
      </c>
      <c r="B9" s="44">
        <f>IFERROR(COMPARISON!B9,0)</f>
        <v>2000000</v>
      </c>
      <c r="C9" s="44">
        <f>IFERROR(COMPARISON!C9,0)</f>
        <v>-2000000</v>
      </c>
      <c r="D9" s="45">
        <f t="shared" si="0"/>
        <v>0</v>
      </c>
      <c r="E9" s="3"/>
      <c r="F9" s="20"/>
    </row>
    <row r="10" spans="1:6" ht="13.5" thickBot="1" x14ac:dyDescent="0.25">
      <c r="A10" s="43" t="s">
        <v>46</v>
      </c>
      <c r="B10" s="44">
        <f>IFERROR(COMPARISON!B10,0)</f>
        <v>0</v>
      </c>
      <c r="C10" s="44">
        <f>IFERROR(COMPARISON!C10,0)</f>
        <v>0</v>
      </c>
      <c r="D10" s="45">
        <f t="shared" si="0"/>
        <v>0</v>
      </c>
      <c r="E10" s="3"/>
      <c r="F10" s="20"/>
    </row>
    <row r="11" spans="1:6" ht="13.5" thickBot="1" x14ac:dyDescent="0.25">
      <c r="A11" s="43" t="s">
        <v>22</v>
      </c>
      <c r="B11" s="44">
        <f>IFERROR(COMPARISON!B11,0)</f>
        <v>25853665.840000004</v>
      </c>
      <c r="C11" s="44">
        <f>IFERROR(COMPARISON!C11,0)</f>
        <v>-25853665.839999981</v>
      </c>
      <c r="D11" s="45">
        <f t="shared" si="0"/>
        <v>0</v>
      </c>
      <c r="E11" s="3"/>
      <c r="F11" s="20"/>
    </row>
    <row r="12" spans="1:6" ht="12.75" customHeight="1" thickBot="1" x14ac:dyDescent="0.25">
      <c r="A12" s="43" t="s">
        <v>25</v>
      </c>
      <c r="B12" s="44">
        <f>IFERROR(COMPARISON!B12,0)</f>
        <v>-9910142.9499999993</v>
      </c>
      <c r="C12" s="44">
        <f>IFERROR(COMPARISON!C12,0)</f>
        <v>9910142.9499999993</v>
      </c>
      <c r="D12" s="45">
        <f t="shared" si="0"/>
        <v>0</v>
      </c>
      <c r="E12" s="3"/>
      <c r="F12" s="20"/>
    </row>
    <row r="13" spans="1:6" ht="13.5" thickBot="1" x14ac:dyDescent="0.25">
      <c r="A13" s="43" t="s">
        <v>47</v>
      </c>
      <c r="B13" s="44">
        <f>IFERROR(COMPARISON!B13,0)</f>
        <v>0</v>
      </c>
      <c r="C13" s="44">
        <f>IFERROR(COMPARISON!C13,0)</f>
        <v>0</v>
      </c>
      <c r="D13" s="45">
        <f t="shared" si="0"/>
        <v>0</v>
      </c>
      <c r="E13" s="3"/>
      <c r="F13" s="20"/>
    </row>
    <row r="14" spans="1:6" ht="13.5" thickBot="1" x14ac:dyDescent="0.25">
      <c r="A14" s="43" t="s">
        <v>27</v>
      </c>
      <c r="B14" s="44">
        <f>IFERROR(COMPARISON!B14,0)</f>
        <v>987000</v>
      </c>
      <c r="C14" s="44">
        <f>IFERROR(COMPARISON!C14,0)</f>
        <v>-987000</v>
      </c>
      <c r="D14" s="45">
        <f t="shared" si="0"/>
        <v>0</v>
      </c>
      <c r="E14" s="3"/>
      <c r="F14" s="20"/>
    </row>
    <row r="15" spans="1:6" ht="13.5" thickBot="1" x14ac:dyDescent="0.25">
      <c r="A15" s="43" t="s">
        <v>48</v>
      </c>
      <c r="B15" s="44">
        <f>IFERROR(COMPARISON!B15,0)</f>
        <v>0</v>
      </c>
      <c r="C15" s="44">
        <f>IFERROR(COMPARISON!C15,0)</f>
        <v>0</v>
      </c>
      <c r="D15" s="45">
        <f t="shared" si="0"/>
        <v>0</v>
      </c>
      <c r="E15" s="35"/>
      <c r="F15" s="20"/>
    </row>
    <row r="16" spans="1:6" ht="13.5" thickBot="1" x14ac:dyDescent="0.25">
      <c r="A16" s="43" t="s">
        <v>16</v>
      </c>
      <c r="B16" s="44">
        <f>IFERROR(COMPARISON!B16,0)</f>
        <v>73940300.599999994</v>
      </c>
      <c r="C16" s="44">
        <f>IFERROR(COMPARISON!C16,0)</f>
        <v>-73940300.599999994</v>
      </c>
      <c r="D16" s="45">
        <f t="shared" si="0"/>
        <v>0</v>
      </c>
      <c r="E16" s="35"/>
      <c r="F16" s="20"/>
    </row>
    <row r="17" spans="1:8" ht="13.5" thickBot="1" x14ac:dyDescent="0.25">
      <c r="A17" s="43" t="s">
        <v>49</v>
      </c>
      <c r="B17" s="44">
        <f>IFERROR(COMPARISON!B17,0)</f>
        <v>0</v>
      </c>
      <c r="C17" s="44">
        <f>IFERROR(COMPARISON!C17,0)</f>
        <v>0</v>
      </c>
      <c r="D17" s="45">
        <f t="shared" si="0"/>
        <v>0</v>
      </c>
      <c r="E17" s="3"/>
      <c r="F17" s="20"/>
    </row>
    <row r="18" spans="1:8" ht="13.5" thickBot="1" x14ac:dyDescent="0.25">
      <c r="A18" s="43" t="s">
        <v>50</v>
      </c>
      <c r="B18" s="44">
        <f>IFERROR(COMPARISON!B18,0)</f>
        <v>0</v>
      </c>
      <c r="C18" s="44">
        <f>IFERROR(COMPARISON!C18,0)</f>
        <v>0</v>
      </c>
      <c r="D18" s="45">
        <f t="shared" si="0"/>
        <v>0</v>
      </c>
      <c r="E18" s="3"/>
      <c r="F18" s="20"/>
    </row>
    <row r="19" spans="1:8" ht="13.5" thickBot="1" x14ac:dyDescent="0.25">
      <c r="A19" s="43" t="s">
        <v>51</v>
      </c>
      <c r="B19" s="44">
        <f>IFERROR(COMPARISON!B19,0)</f>
        <v>0</v>
      </c>
      <c r="C19" s="44">
        <f>IFERROR(COMPARISON!C19,0)</f>
        <v>0</v>
      </c>
      <c r="D19" s="45">
        <f t="shared" si="0"/>
        <v>0</v>
      </c>
      <c r="E19" s="3"/>
      <c r="F19" s="20"/>
    </row>
    <row r="20" spans="1:8" ht="13.5" thickBot="1" x14ac:dyDescent="0.25">
      <c r="A20" s="43" t="s">
        <v>52</v>
      </c>
      <c r="B20" s="44">
        <f>IFERROR(COMPARISON!B20,0)</f>
        <v>0</v>
      </c>
      <c r="C20" s="44">
        <f>IFERROR(COMPARISON!C20,0)</f>
        <v>0</v>
      </c>
      <c r="D20" s="45">
        <f t="shared" si="0"/>
        <v>0</v>
      </c>
      <c r="E20" s="3"/>
      <c r="F20" s="20"/>
    </row>
    <row r="21" spans="1:8" ht="13.5" thickBot="1" x14ac:dyDescent="0.25">
      <c r="A21" s="43" t="s">
        <v>53</v>
      </c>
      <c r="B21" s="44">
        <f>IFERROR(COMPARISON!B21,0)</f>
        <v>0</v>
      </c>
      <c r="C21" s="44">
        <f>IFERROR(COMPARISON!C21,0)</f>
        <v>0</v>
      </c>
      <c r="D21" s="45">
        <f t="shared" si="0"/>
        <v>0</v>
      </c>
      <c r="E21" s="3"/>
      <c r="F21" s="20"/>
    </row>
    <row r="22" spans="1:8" ht="13.5" thickBot="1" x14ac:dyDescent="0.25">
      <c r="A22" s="43" t="s">
        <v>26</v>
      </c>
      <c r="B22" s="44">
        <f>IFERROR(COMPARISON!B22,0)</f>
        <v>0</v>
      </c>
      <c r="C22" s="44">
        <f>IFERROR(COMPARISON!C22,0)</f>
        <v>0</v>
      </c>
      <c r="D22" s="45">
        <f t="shared" si="0"/>
        <v>0</v>
      </c>
      <c r="E22" s="3"/>
      <c r="F22" s="20"/>
    </row>
    <row r="23" spans="1:8" ht="13.5" thickBot="1" x14ac:dyDescent="0.25">
      <c r="A23" s="43" t="s">
        <v>54</v>
      </c>
      <c r="B23" s="44">
        <f>IFERROR(COMPARISON!B23,0)</f>
        <v>0</v>
      </c>
      <c r="C23" s="44">
        <f>IFERROR(COMPARISON!C23,0)</f>
        <v>0</v>
      </c>
      <c r="D23" s="45">
        <f t="shared" si="0"/>
        <v>0</v>
      </c>
      <c r="E23" s="3"/>
      <c r="F23" s="20"/>
    </row>
    <row r="24" spans="1:8" ht="13.5" thickBot="1" x14ac:dyDescent="0.25">
      <c r="A24" s="43" t="s">
        <v>28</v>
      </c>
      <c r="B24" s="44">
        <f>IFERROR(COMPARISON!B24,0)</f>
        <v>-208000</v>
      </c>
      <c r="C24" s="44">
        <f>IFERROR(COMPARISON!C24,0)</f>
        <v>208000</v>
      </c>
      <c r="D24" s="45">
        <f t="shared" si="0"/>
        <v>0</v>
      </c>
      <c r="E24" s="3"/>
      <c r="F24" s="20"/>
    </row>
    <row r="25" spans="1:8" ht="13.5" thickBot="1" x14ac:dyDescent="0.25">
      <c r="A25" s="43" t="s">
        <v>55</v>
      </c>
      <c r="B25" s="44">
        <f>IFERROR(COMPARISON!B25,0)</f>
        <v>60000</v>
      </c>
      <c r="C25" s="44">
        <f>IFERROR(COMPARISON!C25,0)</f>
        <v>-60000</v>
      </c>
      <c r="D25" s="45">
        <f t="shared" si="0"/>
        <v>0</v>
      </c>
      <c r="E25" s="3"/>
      <c r="F25" s="20"/>
    </row>
    <row r="26" spans="1:8" ht="13.5" thickBot="1" x14ac:dyDescent="0.25">
      <c r="A26" s="43" t="s">
        <v>24</v>
      </c>
      <c r="B26" s="44">
        <f>IFERROR(COMPARISON!B26,0)</f>
        <v>-8135.25</v>
      </c>
      <c r="C26" s="44">
        <f>IFERROR(COMPARISON!C26,0)</f>
        <v>8135.25</v>
      </c>
      <c r="D26" s="45">
        <f t="shared" si="0"/>
        <v>0</v>
      </c>
      <c r="E26" s="3"/>
      <c r="F26" s="20"/>
    </row>
    <row r="27" spans="1:8" ht="13.5" thickBot="1" x14ac:dyDescent="0.25">
      <c r="A27" s="43" t="s">
        <v>56</v>
      </c>
      <c r="B27" s="44">
        <f>IFERROR(COMPARISON!B27,0)</f>
        <v>0</v>
      </c>
      <c r="C27" s="44">
        <f>IFERROR(COMPARISON!C27,0)</f>
        <v>0</v>
      </c>
      <c r="D27" s="45">
        <f t="shared" si="0"/>
        <v>0</v>
      </c>
      <c r="E27" s="3"/>
      <c r="F27" s="20"/>
    </row>
    <row r="28" spans="1:8" ht="13.5" thickBot="1" x14ac:dyDescent="0.25">
      <c r="A28" s="43" t="s">
        <v>57</v>
      </c>
      <c r="B28" s="44">
        <f>IFERROR(COMPARISON!B28,0)</f>
        <v>0</v>
      </c>
      <c r="C28" s="44">
        <f>IFERROR(COMPARISON!C28,0)</f>
        <v>0</v>
      </c>
      <c r="D28" s="45">
        <f t="shared" si="0"/>
        <v>0</v>
      </c>
      <c r="E28" s="3"/>
      <c r="F28" s="20"/>
    </row>
    <row r="29" spans="1:8" ht="13.5" thickBot="1" x14ac:dyDescent="0.25">
      <c r="A29" s="43" t="s">
        <v>58</v>
      </c>
      <c r="B29" s="44">
        <f>IFERROR(COMPARISON!B29,0)</f>
        <v>0</v>
      </c>
      <c r="C29" s="44">
        <f>IFERROR(COMPARISON!C29,0)</f>
        <v>0</v>
      </c>
      <c r="D29" s="45">
        <f t="shared" si="0"/>
        <v>0</v>
      </c>
      <c r="E29" s="3"/>
      <c r="F29" s="20"/>
    </row>
    <row r="30" spans="1:8" ht="13.5" thickBot="1" x14ac:dyDescent="0.25">
      <c r="A30" s="43" t="s">
        <v>17</v>
      </c>
      <c r="B30" s="44">
        <f>IFERROR(COMPARISON!B30,0)</f>
        <v>-10427750</v>
      </c>
      <c r="C30" s="44">
        <f>IFERROR(COMPARISON!C30,0)</f>
        <v>10427749.999999993</v>
      </c>
      <c r="D30" s="45">
        <f t="shared" si="0"/>
        <v>0</v>
      </c>
      <c r="E30" s="3"/>
      <c r="F30" s="20"/>
    </row>
    <row r="31" spans="1:8" ht="13.5" thickBot="1" x14ac:dyDescent="0.25">
      <c r="A31" s="43" t="s">
        <v>20</v>
      </c>
      <c r="B31" s="44">
        <f>IFERROR(COMPARISON!B31,0)</f>
        <v>289854.1799999997</v>
      </c>
      <c r="C31" s="44">
        <f>IFERROR(COMPARISON!C31,0)</f>
        <v>-289854.18000000017</v>
      </c>
      <c r="D31" s="45">
        <f t="shared" si="0"/>
        <v>-4.6566128730773926E-10</v>
      </c>
      <c r="E31" s="3"/>
      <c r="F31" s="20"/>
    </row>
    <row r="32" spans="1:8" ht="13.5" thickBot="1" x14ac:dyDescent="0.25">
      <c r="A32" s="9" t="s">
        <v>59</v>
      </c>
      <c r="B32" s="44">
        <f>IFERROR(COMPARISON!B32,0)</f>
        <v>0</v>
      </c>
      <c r="C32" s="44">
        <f>IFERROR(COMPARISON!C32,0)</f>
        <v>0</v>
      </c>
      <c r="D32" s="45">
        <f t="shared" si="0"/>
        <v>0</v>
      </c>
      <c r="E32" s="3"/>
      <c r="F32" s="20"/>
      <c r="H32" s="35"/>
    </row>
    <row r="33" spans="1:10" ht="12" x14ac:dyDescent="0.2">
      <c r="A33" s="36"/>
      <c r="B33" s="3"/>
      <c r="C33" s="3"/>
      <c r="D33" s="3"/>
      <c r="E33" s="3"/>
      <c r="F33" s="20"/>
      <c r="H33" s="35"/>
    </row>
    <row r="34" spans="1:10" x14ac:dyDescent="0.2">
      <c r="A34" s="37" t="s">
        <v>65</v>
      </c>
      <c r="B34" s="3"/>
      <c r="C34" s="3"/>
      <c r="D34" s="3"/>
      <c r="E34" s="3"/>
      <c r="F34" s="20"/>
      <c r="G34" s="53"/>
      <c r="H34" s="50">
        <f>F141</f>
        <v>0</v>
      </c>
      <c r="I34" s="46" t="s">
        <v>67</v>
      </c>
      <c r="J34" s="35">
        <f>E141-SUM(D3:D31)</f>
        <v>4.6566128730773926E-10</v>
      </c>
    </row>
    <row r="35" spans="1:10" x14ac:dyDescent="0.2">
      <c r="A35" s="38" t="s">
        <v>68</v>
      </c>
      <c r="B35" s="3" t="s">
        <v>69</v>
      </c>
      <c r="C35" s="39" t="s">
        <v>70</v>
      </c>
      <c r="E35" s="3"/>
      <c r="F35" s="55" t="s">
        <v>109</v>
      </c>
      <c r="G35" s="53"/>
    </row>
    <row r="36" spans="1:10" ht="15" x14ac:dyDescent="0.25">
      <c r="A36"/>
      <c r="B36" s="57" t="e">
        <f>VLOOKUP(A36,'fx deals outs reworked'!$A$2:$R$889,5,0)</f>
        <v>#N/A</v>
      </c>
      <c r="C36" s="47" t="e">
        <f>VLOOKUP(A36,'fx deals outs reworked'!$A$2:$R$889,4,0)</f>
        <v>#N/A</v>
      </c>
      <c r="D36"/>
      <c r="E36"/>
      <c r="F36" s="49">
        <f>IFERROR(VLOOKUP(A36,'fx deals outs reworked'!$A$2:$R$889,16,0),0)</f>
        <v>0</v>
      </c>
      <c r="G36" s="54"/>
    </row>
    <row r="37" spans="1:10" ht="15" x14ac:dyDescent="0.25">
      <c r="A37"/>
      <c r="B37" s="57" t="e">
        <f>VLOOKUP(A37,'fx deals outs reworked'!$A$2:$R$889,5,0)</f>
        <v>#N/A</v>
      </c>
      <c r="C37" s="47" t="e">
        <f>VLOOKUP(A37,'fx deals outs reworked'!$A$2:$R$889,4,0)</f>
        <v>#N/A</v>
      </c>
      <c r="D37"/>
      <c r="E37"/>
      <c r="F37" s="49">
        <f>IFERROR(VLOOKUP(A37,'fx deals outs reworked'!$A$2:$R$889,16,0),0)</f>
        <v>0</v>
      </c>
      <c r="G37" s="53"/>
    </row>
    <row r="38" spans="1:10" ht="15" x14ac:dyDescent="0.25">
      <c r="A38"/>
      <c r="B38" s="57" t="e">
        <f>VLOOKUP(A38,'fx deals outs reworked'!$A$2:$R$889,5,0)</f>
        <v>#N/A</v>
      </c>
      <c r="C38" s="47" t="e">
        <f>VLOOKUP(A38,'fx deals outs reworked'!$A$2:$R$889,4,0)</f>
        <v>#N/A</v>
      </c>
      <c r="D38"/>
      <c r="E38"/>
      <c r="F38" s="49">
        <f>IFERROR(VLOOKUP(A38,'fx deals outs reworked'!$A$2:$R$889,16,0),0)</f>
        <v>0</v>
      </c>
      <c r="G38" s="53"/>
    </row>
    <row r="39" spans="1:10" ht="15" x14ac:dyDescent="0.25">
      <c r="A39"/>
      <c r="B39" s="57" t="e">
        <f>VLOOKUP(A39,'fx deals outs reworked'!$A$2:$R$889,5,0)</f>
        <v>#N/A</v>
      </c>
      <c r="C39" s="47" t="e">
        <f>VLOOKUP(A39,'fx deals outs reworked'!$A$2:$R$889,4,0)</f>
        <v>#N/A</v>
      </c>
      <c r="D39"/>
      <c r="E39"/>
      <c r="F39" s="49">
        <f>IFERROR(VLOOKUP(A39,'fx deals outs reworked'!$A$2:$R$889,16,0),0)</f>
        <v>0</v>
      </c>
      <c r="G39" s="53"/>
    </row>
    <row r="40" spans="1:10" ht="15" x14ac:dyDescent="0.25">
      <c r="A40"/>
      <c r="B40" s="57" t="e">
        <f>VLOOKUP(A40,'fx deals outs reworked'!$A$2:$R$889,5,0)</f>
        <v>#N/A</v>
      </c>
      <c r="C40" s="47" t="e">
        <f>VLOOKUP(A40,'fx deals outs reworked'!$A$2:$R$889,4,0)</f>
        <v>#N/A</v>
      </c>
      <c r="D40"/>
      <c r="E40"/>
      <c r="F40" s="49">
        <f>IFERROR(VLOOKUP(A40,'fx deals outs reworked'!$A$2:$R$889,16,0),0)</f>
        <v>0</v>
      </c>
      <c r="G40" s="53"/>
      <c r="J40" s="68"/>
    </row>
    <row r="41" spans="1:10" ht="15" x14ac:dyDescent="0.25">
      <c r="A41"/>
      <c r="B41" s="57" t="e">
        <f>VLOOKUP(A41,'fx deals outs reworked'!$A$2:$R$889,5,0)</f>
        <v>#N/A</v>
      </c>
      <c r="C41" s="47" t="e">
        <f>VLOOKUP(A41,'fx deals outs reworked'!$A$2:$R$889,4,0)</f>
        <v>#N/A</v>
      </c>
      <c r="D41"/>
      <c r="E41"/>
      <c r="F41" s="49">
        <f>IFERROR(VLOOKUP(A41,'fx deals outs reworked'!$A$2:$R$889,16,0),0)</f>
        <v>0</v>
      </c>
      <c r="G41" s="53"/>
    </row>
    <row r="42" spans="1:10" ht="15" x14ac:dyDescent="0.25">
      <c r="A42"/>
      <c r="B42" s="57" t="e">
        <f>VLOOKUP(A42,'fx deals outs reworked'!$A$2:$R$889,5,0)</f>
        <v>#N/A</v>
      </c>
      <c r="C42" s="47" t="e">
        <f>VLOOKUP(A42,'fx deals outs reworked'!$A$2:$R$889,4,0)</f>
        <v>#N/A</v>
      </c>
      <c r="D42"/>
      <c r="E42"/>
      <c r="F42" s="49">
        <f>IFERROR(VLOOKUP(A42,'fx deals outs reworked'!$A$2:$R$889,16,0),0)</f>
        <v>0</v>
      </c>
      <c r="G42" s="53"/>
    </row>
    <row r="43" spans="1:10" ht="15" x14ac:dyDescent="0.25">
      <c r="A43"/>
      <c r="B43" s="57" t="e">
        <f>VLOOKUP(A43,'fx deals outs reworked'!$A$2:$R$889,5,0)</f>
        <v>#N/A</v>
      </c>
      <c r="C43" s="47" t="e">
        <f>VLOOKUP(A43,'fx deals outs reworked'!$A$2:$R$889,4,0)</f>
        <v>#N/A</v>
      </c>
      <c r="D43"/>
      <c r="E43"/>
      <c r="F43" s="49">
        <f>IFERROR(VLOOKUP(A43,'fx deals outs reworked'!$A$2:$R$889,16,0),0)</f>
        <v>0</v>
      </c>
    </row>
    <row r="44" spans="1:10" ht="15" x14ac:dyDescent="0.25">
      <c r="A44"/>
      <c r="B44" s="46" t="e">
        <f>VLOOKUP(A44,'fx deals outs reworked'!$A$2:$R$889,5,0)</f>
        <v>#N/A</v>
      </c>
      <c r="C44" s="47" t="e">
        <f>VLOOKUP(A44,'fx deals outs reworked'!$A$2:$R$889,4,0)</f>
        <v>#N/A</v>
      </c>
      <c r="D44"/>
      <c r="E44"/>
      <c r="F44" s="49">
        <f>IFERROR(VLOOKUP(A44,'fx deals outs reworked'!$A$2:$R$889,16,0),0)</f>
        <v>0</v>
      </c>
      <c r="H44" s="52"/>
    </row>
    <row r="45" spans="1:10" ht="15" x14ac:dyDescent="0.25">
      <c r="A45"/>
      <c r="B45" s="46" t="e">
        <f>VLOOKUP(A45,'fx deals outs reworked'!$A$2:$R$889,5,0)</f>
        <v>#N/A</v>
      </c>
      <c r="C45" s="47" t="e">
        <f>VLOOKUP(A45,'fx deals outs reworked'!$A$2:$R$889,4,0)</f>
        <v>#N/A</v>
      </c>
      <c r="D45"/>
      <c r="E45"/>
      <c r="F45" s="49">
        <f>IFERROR(VLOOKUP(A45,'fx deals outs reworked'!$A$2:$R$889,16,0),0)</f>
        <v>0</v>
      </c>
    </row>
    <row r="46" spans="1:10" ht="15" x14ac:dyDescent="0.25">
      <c r="A46"/>
      <c r="B46" s="46" t="e">
        <f>VLOOKUP(A46,'fx deals outs reworked'!$A$2:$R$889,5,0)</f>
        <v>#N/A</v>
      </c>
      <c r="C46" s="47" t="e">
        <f>VLOOKUP(A46,'fx deals outs reworked'!$A$2:$R$889,4,0)</f>
        <v>#N/A</v>
      </c>
      <c r="D46"/>
      <c r="E46"/>
      <c r="F46" s="49">
        <f>IFERROR(VLOOKUP(A46,'fx deals outs reworked'!$A$2:$R$889,16,0),0)</f>
        <v>0</v>
      </c>
    </row>
    <row r="47" spans="1:10" ht="15" x14ac:dyDescent="0.25">
      <c r="A47"/>
      <c r="B47" s="46" t="e">
        <f>VLOOKUP(A47,'fx deals outs reworked'!$A$2:$R$889,5,0)</f>
        <v>#N/A</v>
      </c>
      <c r="C47" s="47" t="e">
        <f>VLOOKUP(A47,'fx deals outs reworked'!$A$2:$R$889,4,0)</f>
        <v>#N/A</v>
      </c>
      <c r="D47"/>
      <c r="E47"/>
      <c r="F47" s="49">
        <f>IFERROR(VLOOKUP(A47,'fx deals outs reworked'!$A$2:$R$889,16,0),0)</f>
        <v>0</v>
      </c>
    </row>
    <row r="48" spans="1:10" ht="15" x14ac:dyDescent="0.25">
      <c r="A48"/>
      <c r="B48" s="46" t="e">
        <f>VLOOKUP(A48,'fx deals outs reworked'!$A$2:$R$889,5,0)</f>
        <v>#N/A</v>
      </c>
      <c r="C48" s="47" t="e">
        <f>VLOOKUP(A48,'fx deals outs reworked'!$A$2:$R$889,4,0)</f>
        <v>#N/A</v>
      </c>
      <c r="D48"/>
      <c r="E48"/>
      <c r="F48" s="49">
        <f>IFERROR(VLOOKUP(A48,'fx deals outs reworked'!$A$2:$R$889,16,0),0)</f>
        <v>0</v>
      </c>
    </row>
    <row r="49" spans="1:6" ht="15" x14ac:dyDescent="0.25">
      <c r="A49"/>
      <c r="B49" s="46" t="e">
        <f>VLOOKUP(A49,'fx deals outs reworked'!$A$2:$R$889,5,0)</f>
        <v>#N/A</v>
      </c>
      <c r="C49" s="47" t="e">
        <f>VLOOKUP(A49,'fx deals outs reworked'!$A$2:$R$889,4,0)</f>
        <v>#N/A</v>
      </c>
      <c r="D49"/>
      <c r="E49"/>
      <c r="F49" s="49">
        <f>IFERROR(VLOOKUP(A49,'fx deals outs reworked'!$A$2:$R$889,16,0),0)</f>
        <v>0</v>
      </c>
    </row>
    <row r="50" spans="1:6" ht="15" x14ac:dyDescent="0.25">
      <c r="A50"/>
      <c r="B50" s="46" t="e">
        <f>VLOOKUP(A50,'fx deals outs reworked'!$A$2:$R$889,5,0)</f>
        <v>#N/A</v>
      </c>
      <c r="C50" s="47" t="e">
        <f>VLOOKUP(A50,'fx deals outs reworked'!$A$2:$R$889,4,0)</f>
        <v>#N/A</v>
      </c>
      <c r="D50"/>
      <c r="E50"/>
      <c r="F50" s="49">
        <f>IFERROR(VLOOKUP(A50,'fx deals outs reworked'!$A$2:$R$889,16,0),0)</f>
        <v>0</v>
      </c>
    </row>
    <row r="51" spans="1:6" ht="15" x14ac:dyDescent="0.25">
      <c r="A51"/>
      <c r="B51" s="46" t="e">
        <f>VLOOKUP(A51,'fx deals outs reworked'!$A$2:$R$889,5,0)</f>
        <v>#N/A</v>
      </c>
      <c r="C51" s="47" t="e">
        <f>VLOOKUP(A51,'fx deals outs reworked'!$A$2:$R$889,4,0)</f>
        <v>#N/A</v>
      </c>
      <c r="D51"/>
      <c r="E51"/>
      <c r="F51" s="49">
        <f>IFERROR(VLOOKUP(A51,'fx deals outs reworked'!$A$2:$R$889,16,0),0)</f>
        <v>0</v>
      </c>
    </row>
    <row r="52" spans="1:6" ht="15" x14ac:dyDescent="0.25">
      <c r="A52"/>
      <c r="B52" s="46" t="e">
        <f>VLOOKUP(A52,'fx deals outs reworked'!$A$2:$R$889,5,0)</f>
        <v>#N/A</v>
      </c>
      <c r="C52" s="47" t="e">
        <f>VLOOKUP(A52,'fx deals outs reworked'!$A$2:$R$889,4,0)</f>
        <v>#N/A</v>
      </c>
      <c r="D52"/>
      <c r="E52"/>
      <c r="F52" s="49">
        <f>IFERROR(VLOOKUP(A52,'fx deals outs reworked'!$A$2:$R$889,16,0),0)</f>
        <v>0</v>
      </c>
    </row>
    <row r="53" spans="1:6" ht="15" x14ac:dyDescent="0.25">
      <c r="A53"/>
      <c r="B53" s="46" t="e">
        <f>VLOOKUP(A53,'fx deals outs reworked'!$A$2:$R$889,5,0)</f>
        <v>#N/A</v>
      </c>
      <c r="C53" s="47" t="e">
        <f>VLOOKUP(A53,'fx deals outs reworked'!$A$2:$R$889,4,0)</f>
        <v>#N/A</v>
      </c>
      <c r="D53"/>
      <c r="E53"/>
      <c r="F53" s="49">
        <f>IFERROR(VLOOKUP(A53,'fx deals outs reworked'!$A$2:$R$889,16,0),0)</f>
        <v>0</v>
      </c>
    </row>
    <row r="54" spans="1:6" ht="15" x14ac:dyDescent="0.25">
      <c r="A54"/>
      <c r="B54" s="46" t="e">
        <f>VLOOKUP(A54,'fx deals outs reworked'!$A$2:$R$889,5,0)</f>
        <v>#N/A</v>
      </c>
      <c r="C54" s="47" t="e">
        <f>VLOOKUP(A54,'fx deals outs reworked'!$A$2:$R$889,4,0)</f>
        <v>#N/A</v>
      </c>
      <c r="D54"/>
      <c r="E54"/>
      <c r="F54" s="49">
        <f>IFERROR(VLOOKUP(A54,'fx deals outs reworked'!$A$2:$R$889,16,0),0)</f>
        <v>0</v>
      </c>
    </row>
    <row r="55" spans="1:6" ht="15" x14ac:dyDescent="0.25">
      <c r="A55"/>
      <c r="B55" s="46" t="e">
        <f>VLOOKUP(A55,'fx deals outs reworked'!$A$2:$R$889,5,0)</f>
        <v>#N/A</v>
      </c>
      <c r="C55" s="47" t="e">
        <f>VLOOKUP(A55,'fx deals outs reworked'!$A$2:$R$889,4,0)</f>
        <v>#N/A</v>
      </c>
      <c r="D55"/>
      <c r="E55"/>
      <c r="F55" s="49">
        <f>IFERROR(VLOOKUP(A55,'fx deals outs reworked'!$A$2:$R$889,16,0),0)</f>
        <v>0</v>
      </c>
    </row>
    <row r="56" spans="1:6" ht="15" x14ac:dyDescent="0.25">
      <c r="A56"/>
      <c r="B56" s="46" t="e">
        <f>VLOOKUP(A56,'fx deals outs reworked'!$A$2:$R$889,5,0)</f>
        <v>#N/A</v>
      </c>
      <c r="C56" s="47" t="e">
        <f>VLOOKUP(A56,'fx deals outs reworked'!$A$2:$R$889,4,0)</f>
        <v>#N/A</v>
      </c>
      <c r="D56"/>
      <c r="E56"/>
      <c r="F56" s="49">
        <f>IFERROR(VLOOKUP(A56,'fx deals outs reworked'!$A$2:$R$889,16,0),0)</f>
        <v>0</v>
      </c>
    </row>
    <row r="57" spans="1:6" ht="15" x14ac:dyDescent="0.25">
      <c r="A57"/>
      <c r="B57" s="46" t="e">
        <f>VLOOKUP(A57,'fx deals outs reworked'!$A$2:$R$889,5,0)</f>
        <v>#N/A</v>
      </c>
      <c r="C57" s="47" t="e">
        <f>VLOOKUP(A57,'fx deals outs reworked'!$A$2:$R$889,4,0)</f>
        <v>#N/A</v>
      </c>
      <c r="D57"/>
      <c r="E57"/>
      <c r="F57" s="49">
        <f>IFERROR(VLOOKUP(A57,'fx deals outs reworked'!$A$2:$R$889,16,0),0)</f>
        <v>0</v>
      </c>
    </row>
    <row r="58" spans="1:6" ht="15" x14ac:dyDescent="0.25">
      <c r="A58"/>
      <c r="B58" s="46" t="e">
        <f>VLOOKUP(A58,'fx deals outs reworked'!$A$2:$R$889,5,0)</f>
        <v>#N/A</v>
      </c>
      <c r="C58" s="47" t="e">
        <f>VLOOKUP(A58,'fx deals outs reworked'!$A$2:$R$889,4,0)</f>
        <v>#N/A</v>
      </c>
      <c r="D58"/>
      <c r="E58"/>
      <c r="F58" s="49">
        <f>IFERROR(VLOOKUP(A58,'fx deals outs reworked'!$A$2:$R$889,16,0),0)</f>
        <v>0</v>
      </c>
    </row>
    <row r="59" spans="1:6" ht="15" x14ac:dyDescent="0.25">
      <c r="A59"/>
      <c r="B59" s="46" t="e">
        <f>VLOOKUP(A59,'fx deals outs reworked'!$A$2:$R$889,5,0)</f>
        <v>#N/A</v>
      </c>
      <c r="C59" s="47" t="e">
        <f>VLOOKUP(A59,'fx deals outs reworked'!$A$2:$R$889,4,0)</f>
        <v>#N/A</v>
      </c>
      <c r="D59"/>
      <c r="E59"/>
      <c r="F59" s="49">
        <f>IFERROR(VLOOKUP(A59,'fx deals outs reworked'!$A$2:$R$889,16,0),0)</f>
        <v>0</v>
      </c>
    </row>
    <row r="60" spans="1:6" ht="15" x14ac:dyDescent="0.25">
      <c r="A60"/>
      <c r="B60" s="46" t="e">
        <f>VLOOKUP(A60,'fx deals outs reworked'!$A$2:$R$889,5,0)</f>
        <v>#N/A</v>
      </c>
      <c r="C60" s="47" t="e">
        <f>VLOOKUP(A60,'fx deals outs reworked'!$A$2:$R$889,4,0)</f>
        <v>#N/A</v>
      </c>
      <c r="D60"/>
      <c r="E60"/>
      <c r="F60" s="49">
        <f>IFERROR(VLOOKUP(A60,'fx deals outs reworked'!$A$2:$R$889,16,0),0)</f>
        <v>0</v>
      </c>
    </row>
    <row r="61" spans="1:6" ht="15" x14ac:dyDescent="0.25">
      <c r="A61"/>
      <c r="B61" s="46" t="e">
        <f>VLOOKUP(A61,'fx deals outs reworked'!$A$2:$R$889,5,0)</f>
        <v>#N/A</v>
      </c>
      <c r="C61" s="47" t="e">
        <f>VLOOKUP(A61,'fx deals outs reworked'!$A$2:$R$889,4,0)</f>
        <v>#N/A</v>
      </c>
      <c r="D61"/>
      <c r="E61"/>
      <c r="F61" s="49">
        <f>IFERROR(VLOOKUP(A61,'fx deals outs reworked'!$A$2:$R$889,16,0),0)</f>
        <v>0</v>
      </c>
    </row>
    <row r="62" spans="1:6" ht="15" x14ac:dyDescent="0.25">
      <c r="A62"/>
      <c r="B62" s="46" t="e">
        <f>VLOOKUP(A62,'fx deals outs reworked'!$A$2:$R$889,5,0)</f>
        <v>#N/A</v>
      </c>
      <c r="C62" s="47" t="e">
        <f>VLOOKUP(A62,'fx deals outs reworked'!$A$2:$R$889,4,0)</f>
        <v>#N/A</v>
      </c>
      <c r="D62"/>
      <c r="E62"/>
      <c r="F62" s="49">
        <f>IFERROR(VLOOKUP(A62,'fx deals outs reworked'!$A$2:$R$889,16,0),0)</f>
        <v>0</v>
      </c>
    </row>
    <row r="63" spans="1:6" ht="15" x14ac:dyDescent="0.25">
      <c r="A63"/>
      <c r="B63" s="46" t="e">
        <f>VLOOKUP(A63,'fx deals outs reworked'!$A$2:$R$889,5,0)</f>
        <v>#N/A</v>
      </c>
      <c r="C63" s="47" t="e">
        <f>VLOOKUP(A63,'fx deals outs reworked'!$A$2:$R$889,4,0)</f>
        <v>#N/A</v>
      </c>
      <c r="D63"/>
      <c r="E63"/>
      <c r="F63" s="49">
        <f>IFERROR(VLOOKUP(A63,'fx deals outs reworked'!$A$2:$R$889,16,0),0)</f>
        <v>0</v>
      </c>
    </row>
    <row r="64" spans="1:6" ht="15" x14ac:dyDescent="0.25">
      <c r="A64"/>
      <c r="B64" s="46" t="e">
        <f>VLOOKUP(A64,'fx deals outs reworked'!$A$2:$R$889,5,0)</f>
        <v>#N/A</v>
      </c>
      <c r="C64" s="47" t="e">
        <f>VLOOKUP(A64,'fx deals outs reworked'!$A$2:$R$889,4,0)</f>
        <v>#N/A</v>
      </c>
      <c r="D64"/>
      <c r="E64"/>
      <c r="F64" s="49">
        <f>IFERROR(VLOOKUP(A64,'fx deals outs reworked'!$A$2:$R$889,16,0),0)</f>
        <v>0</v>
      </c>
    </row>
    <row r="65" spans="1:6" ht="15" x14ac:dyDescent="0.25">
      <c r="A65"/>
      <c r="B65" s="46" t="e">
        <f>VLOOKUP(A65,'fx deals outs reworked'!$A$2:$R$889,5,0)</f>
        <v>#N/A</v>
      </c>
      <c r="C65" s="47" t="e">
        <f>VLOOKUP(A65,'fx deals outs reworked'!$A$2:$R$889,4,0)</f>
        <v>#N/A</v>
      </c>
      <c r="D65"/>
      <c r="E65"/>
      <c r="F65" s="49">
        <f>IFERROR(VLOOKUP(A65,'fx deals outs reworked'!$A$2:$R$889,16,0),0)</f>
        <v>0</v>
      </c>
    </row>
    <row r="66" spans="1:6" ht="15" x14ac:dyDescent="0.25">
      <c r="A66"/>
      <c r="B66" s="46" t="e">
        <f>VLOOKUP(A66,'fx deals outs reworked'!$A$2:$R$889,5,0)</f>
        <v>#N/A</v>
      </c>
      <c r="C66" s="47" t="e">
        <f>VLOOKUP(A66,'fx deals outs reworked'!$A$2:$R$889,4,0)</f>
        <v>#N/A</v>
      </c>
      <c r="D66"/>
      <c r="E66"/>
      <c r="F66" s="49">
        <f>IFERROR(VLOOKUP(A66,'fx deals outs reworked'!$A$2:$R$889,16,0),0)</f>
        <v>0</v>
      </c>
    </row>
    <row r="67" spans="1:6" ht="15" x14ac:dyDescent="0.25">
      <c r="A67"/>
      <c r="B67" s="46" t="e">
        <f>VLOOKUP(A67,'fx deals outs reworked'!$A$2:$R$889,5,0)</f>
        <v>#N/A</v>
      </c>
      <c r="C67" s="47" t="e">
        <f>VLOOKUP(A67,'fx deals outs reworked'!$A$2:$R$889,4,0)</f>
        <v>#N/A</v>
      </c>
      <c r="D67"/>
      <c r="E67"/>
      <c r="F67" s="49">
        <f>IFERROR(VLOOKUP(A67,'fx deals outs reworked'!$A$2:$R$889,16,0),0)</f>
        <v>0</v>
      </c>
    </row>
    <row r="68" spans="1:6" ht="15" x14ac:dyDescent="0.25">
      <c r="A68"/>
      <c r="B68" s="46" t="e">
        <f>VLOOKUP(A68,'fx deals outs reworked'!$A$2:$R$889,5,0)</f>
        <v>#N/A</v>
      </c>
      <c r="C68" s="47" t="e">
        <f>VLOOKUP(A68,'fx deals outs reworked'!$A$2:$R$889,4,0)</f>
        <v>#N/A</v>
      </c>
      <c r="D68"/>
      <c r="E68"/>
      <c r="F68" s="49">
        <f>IFERROR(VLOOKUP(A68,'fx deals outs reworked'!$A$2:$R$889,16,0),0)</f>
        <v>0</v>
      </c>
    </row>
    <row r="69" spans="1:6" ht="15" x14ac:dyDescent="0.25">
      <c r="A69"/>
      <c r="B69" s="46" t="e">
        <f>VLOOKUP(A69,'fx deals outs reworked'!$A$2:$R$889,5,0)</f>
        <v>#N/A</v>
      </c>
      <c r="C69" s="47" t="e">
        <f>VLOOKUP(A69,'fx deals outs reworked'!$A$2:$R$889,4,0)</f>
        <v>#N/A</v>
      </c>
      <c r="D69"/>
      <c r="E69"/>
      <c r="F69" s="49">
        <f>IFERROR(VLOOKUP(A69,'fx deals outs reworked'!$A$2:$R$889,16,0),0)</f>
        <v>0</v>
      </c>
    </row>
    <row r="70" spans="1:6" ht="15" x14ac:dyDescent="0.25">
      <c r="A70"/>
      <c r="B70" s="46" t="e">
        <f>VLOOKUP(A70,'fx deals outs reworked'!$A$2:$R$889,5,0)</f>
        <v>#N/A</v>
      </c>
      <c r="C70" s="47" t="e">
        <f>VLOOKUP(A70,'fx deals outs reworked'!$A$2:$R$889,4,0)</f>
        <v>#N/A</v>
      </c>
      <c r="D70"/>
      <c r="E70"/>
      <c r="F70" s="49">
        <f>IFERROR(VLOOKUP(A70,'fx deals outs reworked'!$A$2:$R$889,16,0),0)</f>
        <v>0</v>
      </c>
    </row>
    <row r="71" spans="1:6" ht="15" x14ac:dyDescent="0.25">
      <c r="A71"/>
      <c r="B71" s="46" t="e">
        <f>VLOOKUP(A71,'fx deals outs reworked'!$A$2:$R$889,5,0)</f>
        <v>#N/A</v>
      </c>
      <c r="C71" s="47" t="e">
        <f>VLOOKUP(A71,'fx deals outs reworked'!$A$2:$R$889,4,0)</f>
        <v>#N/A</v>
      </c>
      <c r="D71"/>
      <c r="E71"/>
      <c r="F71" s="49">
        <f>IFERROR(VLOOKUP(A71,'fx deals outs reworked'!$A$2:$R$889,16,0),0)</f>
        <v>0</v>
      </c>
    </row>
    <row r="72" spans="1:6" ht="15" x14ac:dyDescent="0.25">
      <c r="A72"/>
      <c r="B72" s="46" t="e">
        <f>VLOOKUP(A72,'fx deals outs reworked'!$A$2:$R$889,5,0)</f>
        <v>#N/A</v>
      </c>
      <c r="C72" s="47" t="e">
        <f>VLOOKUP(A72,'fx deals outs reworked'!$A$2:$R$889,4,0)</f>
        <v>#N/A</v>
      </c>
      <c r="D72"/>
      <c r="E72"/>
      <c r="F72" s="49">
        <f>IFERROR(VLOOKUP(A72,'fx deals outs reworked'!$A$2:$R$889,16,0),0)</f>
        <v>0</v>
      </c>
    </row>
    <row r="73" spans="1:6" ht="15" x14ac:dyDescent="0.25">
      <c r="A73"/>
      <c r="B73" s="46" t="e">
        <f>VLOOKUP(A73,'fx deals outs reworked'!$A$2:$R$889,5,0)</f>
        <v>#N/A</v>
      </c>
      <c r="C73" s="47" t="e">
        <f>VLOOKUP(A73,'fx deals outs reworked'!$A$2:$R$889,4,0)</f>
        <v>#N/A</v>
      </c>
      <c r="D73"/>
      <c r="E73"/>
      <c r="F73" s="49">
        <f>IFERROR(VLOOKUP(A73,'fx deals outs reworked'!$A$2:$R$889,16,0),0)</f>
        <v>0</v>
      </c>
    </row>
    <row r="74" spans="1:6" ht="15" x14ac:dyDescent="0.25">
      <c r="A74"/>
      <c r="B74" s="46" t="e">
        <f>VLOOKUP(A74,'fx deals outs reworked'!$A$2:$R$889,5,0)</f>
        <v>#N/A</v>
      </c>
      <c r="C74" s="47" t="e">
        <f>VLOOKUP(A74,'fx deals outs reworked'!$A$2:$R$889,4,0)</f>
        <v>#N/A</v>
      </c>
      <c r="D74"/>
      <c r="E74"/>
      <c r="F74" s="49">
        <f>IFERROR(VLOOKUP(A74,'fx deals outs reworked'!$A$2:$R$889,16,0),0)</f>
        <v>0</v>
      </c>
    </row>
    <row r="75" spans="1:6" ht="15" x14ac:dyDescent="0.25">
      <c r="A75"/>
      <c r="B75" s="46" t="e">
        <f>VLOOKUP(A75,'fx deals outs reworked'!$A$2:$R$889,5,0)</f>
        <v>#N/A</v>
      </c>
      <c r="C75" s="47" t="e">
        <f>VLOOKUP(A75,'fx deals outs reworked'!$A$2:$R$889,4,0)</f>
        <v>#N/A</v>
      </c>
      <c r="D75"/>
      <c r="E75"/>
      <c r="F75" s="49">
        <f>IFERROR(VLOOKUP(A75,'fx deals outs reworked'!$A$2:$R$889,16,0),0)</f>
        <v>0</v>
      </c>
    </row>
    <row r="76" spans="1:6" ht="15" x14ac:dyDescent="0.25">
      <c r="A76"/>
      <c r="B76" s="46" t="e">
        <f>VLOOKUP(A76,'fx deals outs reworked'!$A$2:$R$889,5,0)</f>
        <v>#N/A</v>
      </c>
      <c r="C76" s="47" t="e">
        <f>VLOOKUP(A76,'fx deals outs reworked'!$A$2:$R$889,4,0)</f>
        <v>#N/A</v>
      </c>
      <c r="D76"/>
      <c r="E76"/>
      <c r="F76" s="49">
        <f>IFERROR(VLOOKUP(A76,'fx deals outs reworked'!$A$2:$R$889,16,0),0)</f>
        <v>0</v>
      </c>
    </row>
    <row r="77" spans="1:6" ht="15" x14ac:dyDescent="0.25">
      <c r="A77"/>
      <c r="B77" s="46" t="e">
        <f>VLOOKUP(A77,'fx deals outs reworked'!$A$2:$R$889,5,0)</f>
        <v>#N/A</v>
      </c>
      <c r="C77" s="47" t="e">
        <f>VLOOKUP(A77,'fx deals outs reworked'!$A$2:$R$889,4,0)</f>
        <v>#N/A</v>
      </c>
      <c r="D77"/>
      <c r="E77"/>
      <c r="F77" s="49">
        <f>IFERROR(VLOOKUP(A77,'fx deals outs reworked'!$A$2:$R$889,16,0),0)</f>
        <v>0</v>
      </c>
    </row>
    <row r="78" spans="1:6" ht="15" x14ac:dyDescent="0.25">
      <c r="A78"/>
      <c r="B78" s="46" t="e">
        <f>VLOOKUP(A78,'fx deals outs reworked'!$A$2:$R$889,5,0)</f>
        <v>#N/A</v>
      </c>
      <c r="C78" s="47" t="e">
        <f>VLOOKUP(A78,'fx deals outs reworked'!$A$2:$R$889,4,0)</f>
        <v>#N/A</v>
      </c>
      <c r="D78"/>
      <c r="E78"/>
      <c r="F78" s="49">
        <f>IFERROR(VLOOKUP(A78,'fx deals outs reworked'!$A$2:$R$889,16,0),0)</f>
        <v>0</v>
      </c>
    </row>
    <row r="79" spans="1:6" ht="15" x14ac:dyDescent="0.25">
      <c r="A79"/>
      <c r="B79" s="46" t="e">
        <f>VLOOKUP(A79,'fx deals outs reworked'!$A$2:$R$889,5,0)</f>
        <v>#N/A</v>
      </c>
      <c r="C79" s="47" t="e">
        <f>VLOOKUP(A79,'fx deals outs reworked'!$A$2:$R$889,4,0)</f>
        <v>#N/A</v>
      </c>
      <c r="D79"/>
      <c r="E79"/>
      <c r="F79" s="49">
        <f>IFERROR(VLOOKUP(A79,'fx deals outs reworked'!$A$2:$R$889,16,0),0)</f>
        <v>0</v>
      </c>
    </row>
    <row r="80" spans="1:6" ht="15" x14ac:dyDescent="0.25">
      <c r="A80"/>
      <c r="B80" s="46" t="e">
        <f>VLOOKUP(A80,'fx deals outs reworked'!$A$2:$R$889,5,0)</f>
        <v>#N/A</v>
      </c>
      <c r="C80" s="47" t="e">
        <f>VLOOKUP(A80,'fx deals outs reworked'!$A$2:$R$889,4,0)</f>
        <v>#N/A</v>
      </c>
      <c r="D80"/>
      <c r="E80"/>
      <c r="F80" s="49">
        <f>IFERROR(VLOOKUP(A80,'fx deals outs reworked'!$A$2:$R$889,16,0),0)</f>
        <v>0</v>
      </c>
    </row>
    <row r="81" spans="1:6" ht="15" x14ac:dyDescent="0.25">
      <c r="A81"/>
      <c r="B81" s="46" t="e">
        <f>VLOOKUP(A81,'fx deals outs reworked'!$A$2:$R$889,5,0)</f>
        <v>#N/A</v>
      </c>
      <c r="C81" s="47" t="e">
        <f>VLOOKUP(A81,'fx deals outs reworked'!$A$2:$R$889,4,0)</f>
        <v>#N/A</v>
      </c>
      <c r="D81"/>
      <c r="E81"/>
      <c r="F81" s="49">
        <f>IFERROR(VLOOKUP(A81,'fx deals outs reworked'!$A$2:$R$889,16,0),0)</f>
        <v>0</v>
      </c>
    </row>
    <row r="82" spans="1:6" ht="15" x14ac:dyDescent="0.25">
      <c r="A82"/>
      <c r="B82" s="46" t="e">
        <f>VLOOKUP(A82,'fx deals outs reworked'!$A$2:$R$889,5,0)</f>
        <v>#N/A</v>
      </c>
      <c r="C82" s="47" t="e">
        <f>VLOOKUP(A82,'fx deals outs reworked'!$A$2:$R$889,4,0)</f>
        <v>#N/A</v>
      </c>
      <c r="D82"/>
      <c r="E82"/>
      <c r="F82" s="49">
        <f>IFERROR(VLOOKUP(A82,'fx deals outs reworked'!$A$2:$R$889,16,0),0)</f>
        <v>0</v>
      </c>
    </row>
    <row r="83" spans="1:6" ht="15" x14ac:dyDescent="0.25">
      <c r="A83"/>
      <c r="B83" s="46" t="e">
        <f>VLOOKUP(A83,'fx deals outs reworked'!$A$2:$R$889,5,0)</f>
        <v>#N/A</v>
      </c>
      <c r="C83" s="47" t="e">
        <f>VLOOKUP(A83,'fx deals outs reworked'!$A$2:$R$889,4,0)</f>
        <v>#N/A</v>
      </c>
      <c r="D83"/>
      <c r="E83"/>
      <c r="F83" s="49">
        <f>IFERROR(VLOOKUP(A83,'fx deals outs reworked'!$A$2:$R$889,16,0),0)</f>
        <v>0</v>
      </c>
    </row>
    <row r="84" spans="1:6" ht="15" x14ac:dyDescent="0.25">
      <c r="A84"/>
      <c r="B84" s="46" t="e">
        <f>VLOOKUP(A84,'fx deals outs reworked'!$A$2:$R$889,5,0)</f>
        <v>#N/A</v>
      </c>
      <c r="C84" s="47" t="e">
        <f>VLOOKUP(A84,'fx deals outs reworked'!$A$2:$R$889,4,0)</f>
        <v>#N/A</v>
      </c>
      <c r="D84"/>
      <c r="E84"/>
      <c r="F84" s="49">
        <f>IFERROR(VLOOKUP(A84,'fx deals outs reworked'!$A$2:$R$889,16,0),0)</f>
        <v>0</v>
      </c>
    </row>
    <row r="85" spans="1:6" ht="15" x14ac:dyDescent="0.25">
      <c r="A85"/>
      <c r="B85" s="46" t="e">
        <f>VLOOKUP(A85,'fx deals outs reworked'!$A$2:$R$889,5,0)</f>
        <v>#N/A</v>
      </c>
      <c r="C85" s="47" t="e">
        <f>VLOOKUP(A85,'fx deals outs reworked'!$A$2:$R$889,4,0)</f>
        <v>#N/A</v>
      </c>
      <c r="D85"/>
      <c r="E85"/>
      <c r="F85" s="49">
        <f>IFERROR(VLOOKUP(A85,'fx deals outs reworked'!$A$2:$R$889,16,0),0)</f>
        <v>0</v>
      </c>
    </row>
    <row r="86" spans="1:6" ht="15" x14ac:dyDescent="0.25">
      <c r="A86"/>
      <c r="B86" s="46" t="e">
        <f>VLOOKUP(A86,'fx deals outs reworked'!$A$2:$R$889,5,0)</f>
        <v>#N/A</v>
      </c>
      <c r="C86" s="47" t="e">
        <f>VLOOKUP(A86,'fx deals outs reworked'!$A$2:$R$889,4,0)</f>
        <v>#N/A</v>
      </c>
      <c r="D86"/>
      <c r="E86"/>
      <c r="F86" s="49">
        <f>IFERROR(VLOOKUP(A86,'fx deals outs reworked'!$A$2:$R$889,16,0),0)</f>
        <v>0</v>
      </c>
    </row>
    <row r="87" spans="1:6" ht="15" x14ac:dyDescent="0.25">
      <c r="A87"/>
      <c r="B87" s="46" t="e">
        <f>VLOOKUP(A87,'fx deals outs reworked'!$A$2:$R$889,5,0)</f>
        <v>#N/A</v>
      </c>
      <c r="C87" s="47" t="e">
        <f>VLOOKUP(A87,'fx deals outs reworked'!$A$2:$R$889,4,0)</f>
        <v>#N/A</v>
      </c>
      <c r="D87"/>
      <c r="E87"/>
      <c r="F87" s="49">
        <f>IFERROR(VLOOKUP(A87,'fx deals outs reworked'!$A$2:$R$889,16,0),0)</f>
        <v>0</v>
      </c>
    </row>
    <row r="88" spans="1:6" ht="15" x14ac:dyDescent="0.25">
      <c r="A88"/>
      <c r="B88" s="46" t="e">
        <f>VLOOKUP(A88,'fx deals outs reworked'!$A$2:$R$889,5,0)</f>
        <v>#N/A</v>
      </c>
      <c r="C88" s="47" t="e">
        <f>VLOOKUP(A88,'fx deals outs reworked'!$A$2:$R$889,4,0)</f>
        <v>#N/A</v>
      </c>
      <c r="D88"/>
      <c r="E88"/>
      <c r="F88" s="49">
        <f>IFERROR(VLOOKUP(A88,'fx deals outs reworked'!$A$2:$R$889,16,0),0)</f>
        <v>0</v>
      </c>
    </row>
    <row r="89" spans="1:6" ht="15" x14ac:dyDescent="0.25">
      <c r="A89"/>
      <c r="B89" s="46" t="e">
        <f>VLOOKUP(A89,'fx deals outs reworked'!$A$2:$R$889,5,0)</f>
        <v>#N/A</v>
      </c>
      <c r="C89" s="47" t="e">
        <f>VLOOKUP(A89,'fx deals outs reworked'!$A$2:$R$889,4,0)</f>
        <v>#N/A</v>
      </c>
      <c r="D89"/>
      <c r="E89"/>
      <c r="F89" s="49">
        <f>IFERROR(VLOOKUP(A89,'fx deals outs reworked'!$A$2:$R$889,16,0),0)</f>
        <v>0</v>
      </c>
    </row>
    <row r="90" spans="1:6" ht="15" x14ac:dyDescent="0.25">
      <c r="A90"/>
      <c r="B90" s="46" t="e">
        <f>VLOOKUP(A90,'fx deals outs reworked'!$A$2:$R$889,5,0)</f>
        <v>#N/A</v>
      </c>
      <c r="C90" s="47" t="e">
        <f>VLOOKUP(A90,'fx deals outs reworked'!$A$2:$R$889,4,0)</f>
        <v>#N/A</v>
      </c>
      <c r="D90"/>
      <c r="E90"/>
      <c r="F90" s="49">
        <f>IFERROR(VLOOKUP(A90,'fx deals outs reworked'!$A$2:$R$889,16,0),0)</f>
        <v>0</v>
      </c>
    </row>
    <row r="91" spans="1:6" ht="15" x14ac:dyDescent="0.25">
      <c r="A91"/>
      <c r="B91" s="46" t="e">
        <f>VLOOKUP(A91,'fx deals outs reworked'!$A$2:$R$889,5,0)</f>
        <v>#N/A</v>
      </c>
      <c r="C91" s="47" t="e">
        <f>VLOOKUP(A91,'fx deals outs reworked'!$A$2:$R$889,4,0)</f>
        <v>#N/A</v>
      </c>
      <c r="D91"/>
      <c r="E91"/>
      <c r="F91" s="49">
        <f>IFERROR(VLOOKUP(A91,'fx deals outs reworked'!$A$2:$R$889,16,0),0)</f>
        <v>0</v>
      </c>
    </row>
    <row r="92" spans="1:6" ht="15" x14ac:dyDescent="0.25">
      <c r="A92"/>
      <c r="B92" s="46" t="e">
        <f>VLOOKUP(A92,'fx deals outs reworked'!$A$2:$R$889,5,0)</f>
        <v>#N/A</v>
      </c>
      <c r="C92" s="47" t="e">
        <f>VLOOKUP(A92,'fx deals outs reworked'!$A$2:$R$889,4,0)</f>
        <v>#N/A</v>
      </c>
      <c r="D92"/>
      <c r="E92"/>
      <c r="F92" s="49">
        <f>IFERROR(VLOOKUP(A92,'fx deals outs reworked'!$A$2:$R$889,16,0),0)</f>
        <v>0</v>
      </c>
    </row>
    <row r="93" spans="1:6" ht="15" x14ac:dyDescent="0.25">
      <c r="A93"/>
      <c r="B93" s="57" t="e">
        <f>VLOOKUP(A93,'fx deals outs reworked'!$A$2:$R$889,5,0)</f>
        <v>#N/A</v>
      </c>
      <c r="C93" s="47" t="e">
        <f>VLOOKUP(A93,'fx deals outs reworked'!$A$2:$R$889,4,0)</f>
        <v>#N/A</v>
      </c>
      <c r="D93"/>
      <c r="E93"/>
      <c r="F93" s="49">
        <f>IFERROR(VLOOKUP(A93,'fx deals outs reworked'!$A$2:$R$889,16,0),0)</f>
        <v>0</v>
      </c>
    </row>
    <row r="94" spans="1:6" ht="15" x14ac:dyDescent="0.25">
      <c r="A94"/>
      <c r="B94" s="46" t="e">
        <f>VLOOKUP(A94,'fx deals outs reworked'!$A$2:$R$889,5,0)</f>
        <v>#N/A</v>
      </c>
      <c r="C94" s="47" t="e">
        <f>VLOOKUP(A94,'fx deals outs reworked'!$A$2:$R$889,4,0)</f>
        <v>#N/A</v>
      </c>
      <c r="D94"/>
      <c r="E94"/>
      <c r="F94" s="49">
        <f>IFERROR(VLOOKUP(A94,'fx deals outs reworked'!$A$2:$R$889,16,0),0)</f>
        <v>0</v>
      </c>
    </row>
    <row r="95" spans="1:6" ht="15" x14ac:dyDescent="0.25">
      <c r="A95"/>
      <c r="B95" s="46" t="e">
        <f>VLOOKUP(A95,'fx deals outs reworked'!$A$2:$R$889,5,0)</f>
        <v>#N/A</v>
      </c>
      <c r="C95" s="47" t="e">
        <f>VLOOKUP(A95,'fx deals outs reworked'!$A$2:$R$889,4,0)</f>
        <v>#N/A</v>
      </c>
      <c r="D95"/>
      <c r="E95"/>
      <c r="F95" s="49">
        <f>IFERROR(VLOOKUP(A95,'fx deals outs reworked'!$A$2:$R$889,16,0),0)</f>
        <v>0</v>
      </c>
    </row>
    <row r="96" spans="1:6" ht="15" x14ac:dyDescent="0.25">
      <c r="A96"/>
      <c r="B96" s="46" t="e">
        <f>VLOOKUP(A96,'fx deals outs reworked'!$A$2:$R$889,5,0)</f>
        <v>#N/A</v>
      </c>
      <c r="C96" s="47" t="e">
        <f>VLOOKUP(A96,'fx deals outs reworked'!$A$2:$R$889,4,0)</f>
        <v>#N/A</v>
      </c>
      <c r="D96"/>
      <c r="E96"/>
      <c r="F96" s="49">
        <f>IFERROR(VLOOKUP(A96,'fx deals outs reworked'!$A$2:$R$889,16,0),0)</f>
        <v>0</v>
      </c>
    </row>
    <row r="97" spans="1:6" ht="15" x14ac:dyDescent="0.25">
      <c r="A97"/>
      <c r="B97" s="46" t="e">
        <f>VLOOKUP(A97,'fx deals outs reworked'!$A$2:$R$889,5,0)</f>
        <v>#N/A</v>
      </c>
      <c r="C97" s="47" t="e">
        <f>VLOOKUP(A97,'fx deals outs reworked'!$A$2:$R$889,4,0)</f>
        <v>#N/A</v>
      </c>
      <c r="D97"/>
      <c r="E97"/>
      <c r="F97" s="49">
        <f>IFERROR(VLOOKUP(A97,'fx deals outs reworked'!$A$2:$R$889,16,0),0)</f>
        <v>0</v>
      </c>
    </row>
    <row r="98" spans="1:6" ht="15" x14ac:dyDescent="0.25">
      <c r="A98"/>
      <c r="B98" s="46" t="e">
        <f>VLOOKUP(A98,'fx deals outs reworked'!$A$2:$R$889,5,0)</f>
        <v>#N/A</v>
      </c>
      <c r="C98" s="47" t="e">
        <f>VLOOKUP(A98,'fx deals outs reworked'!$A$2:$R$889,4,0)</f>
        <v>#N/A</v>
      </c>
      <c r="D98"/>
      <c r="E98"/>
      <c r="F98" s="49">
        <f>IFERROR(VLOOKUP(A98,'fx deals outs reworked'!$A$2:$R$889,16,0),0)</f>
        <v>0</v>
      </c>
    </row>
    <row r="99" spans="1:6" ht="15" x14ac:dyDescent="0.25">
      <c r="A99"/>
      <c r="B99" s="46" t="e">
        <f>VLOOKUP(A99,'fx deals outs reworked'!$A$2:$R$889,5,0)</f>
        <v>#N/A</v>
      </c>
      <c r="C99" s="47" t="e">
        <f>VLOOKUP(A99,'fx deals outs reworked'!$A$2:$R$889,4,0)</f>
        <v>#N/A</v>
      </c>
      <c r="D99"/>
      <c r="E99"/>
      <c r="F99" s="49">
        <f>IFERROR(VLOOKUP(A99,'fx deals outs reworked'!$A$2:$R$889,16,0),0)</f>
        <v>0</v>
      </c>
    </row>
    <row r="100" spans="1:6" ht="15" x14ac:dyDescent="0.25">
      <c r="A100"/>
      <c r="B100" s="46" t="e">
        <f>VLOOKUP(A100,'fx deals outs reworked'!$A$2:$R$889,5,0)</f>
        <v>#N/A</v>
      </c>
      <c r="C100" s="47" t="e">
        <f>VLOOKUP(A100,'fx deals outs reworked'!$A$2:$R$889,4,0)</f>
        <v>#N/A</v>
      </c>
      <c r="D100"/>
      <c r="E100"/>
      <c r="F100" s="48">
        <f>IFERROR(VLOOKUP(A100,'fx deals outs reworked'!$A$2:$R$889,16,0),0)</f>
        <v>0</v>
      </c>
    </row>
    <row r="101" spans="1:6" ht="15" x14ac:dyDescent="0.25">
      <c r="A101"/>
      <c r="B101" s="46" t="e">
        <f>VLOOKUP(A101,'fx deals outs reworked'!$A$2:$R$889,5,0)</f>
        <v>#N/A</v>
      </c>
      <c r="C101" s="47" t="e">
        <f>VLOOKUP(A101,'fx deals outs reworked'!$A$2:$R$889,4,0)</f>
        <v>#N/A</v>
      </c>
      <c r="D101"/>
      <c r="E101"/>
      <c r="F101" s="48">
        <f>IFERROR(VLOOKUP(A101,'fx deals outs reworked'!$A$2:$R$889,16,0),0)</f>
        <v>0</v>
      </c>
    </row>
    <row r="102" spans="1:6" ht="15" x14ac:dyDescent="0.25">
      <c r="A102"/>
      <c r="B102" s="46" t="e">
        <f>VLOOKUP(A102,'fx deals outs reworked'!$A$2:$R$889,5,0)</f>
        <v>#N/A</v>
      </c>
      <c r="C102" s="47" t="e">
        <f>VLOOKUP(A102,'fx deals outs reworked'!$A$2:$R$889,4,0)</f>
        <v>#N/A</v>
      </c>
      <c r="D102"/>
      <c r="E102"/>
      <c r="F102" s="48">
        <f>IFERROR(VLOOKUP(A102,'fx deals outs reworked'!$A$2:$R$889,16,0),0)</f>
        <v>0</v>
      </c>
    </row>
    <row r="103" spans="1:6" ht="15" x14ac:dyDescent="0.25">
      <c r="A103"/>
      <c r="B103" s="46" t="e">
        <f>VLOOKUP(A103,'fx deals outs reworked'!$A$2:$R$889,5,0)</f>
        <v>#N/A</v>
      </c>
      <c r="C103" s="47" t="e">
        <f>VLOOKUP(A103,'fx deals outs reworked'!$A$2:$R$889,4,0)</f>
        <v>#N/A</v>
      </c>
      <c r="D103"/>
      <c r="E103"/>
      <c r="F103" s="48">
        <f>IFERROR(VLOOKUP(A103,'fx deals outs reworked'!$A$2:$R$889,16,0),0)</f>
        <v>0</v>
      </c>
    </row>
    <row r="104" spans="1:6" ht="15" x14ac:dyDescent="0.25">
      <c r="A104"/>
      <c r="B104" s="46" t="e">
        <f>VLOOKUP(A104,'fx deals outs reworked'!$A$2:$R$889,5,0)</f>
        <v>#N/A</v>
      </c>
      <c r="C104" s="47" t="e">
        <f>VLOOKUP(A104,'fx deals outs reworked'!$A$2:$R$889,4,0)</f>
        <v>#N/A</v>
      </c>
      <c r="D104"/>
      <c r="E104"/>
      <c r="F104" s="48">
        <f>IFERROR(VLOOKUP(A104,'fx deals outs reworked'!$A$2:$R$889,16,0),0)</f>
        <v>0</v>
      </c>
    </row>
    <row r="105" spans="1:6" ht="15" x14ac:dyDescent="0.25">
      <c r="A105"/>
      <c r="B105" s="46" t="e">
        <f>VLOOKUP(A105,'fx deals outs reworked'!$A$2:$R$889,5,0)</f>
        <v>#N/A</v>
      </c>
      <c r="C105" s="47" t="e">
        <f>VLOOKUP(A105,'fx deals outs reworked'!$A$2:$R$889,4,0)</f>
        <v>#N/A</v>
      </c>
      <c r="D105"/>
      <c r="E105"/>
      <c r="F105" s="48">
        <f>IFERROR(VLOOKUP(A105,'fx deals outs reworked'!$A$2:$R$889,16,0),0)</f>
        <v>0</v>
      </c>
    </row>
    <row r="106" spans="1:6" ht="15" x14ac:dyDescent="0.25">
      <c r="A106"/>
      <c r="B106" s="46" t="e">
        <f>VLOOKUP(A106,'fx deals outs reworked'!$A$2:$R$889,5,0)</f>
        <v>#N/A</v>
      </c>
      <c r="C106" s="47" t="e">
        <f>VLOOKUP(A106,'fx deals outs reworked'!$A$2:$R$889,4,0)</f>
        <v>#N/A</v>
      </c>
      <c r="D106"/>
      <c r="E106"/>
      <c r="F106" s="48">
        <f>IFERROR(VLOOKUP(A106,'fx deals outs reworked'!$A$2:$R$889,16,0),0)</f>
        <v>0</v>
      </c>
    </row>
    <row r="107" spans="1:6" ht="15" x14ac:dyDescent="0.25">
      <c r="A107"/>
      <c r="B107" s="46" t="e">
        <f>VLOOKUP(A107,'fx deals outs reworked'!$A$2:$R$889,5,0)</f>
        <v>#N/A</v>
      </c>
      <c r="C107" s="47" t="e">
        <f>VLOOKUP(A107,'fx deals outs reworked'!$A$2:$R$889,4,0)</f>
        <v>#N/A</v>
      </c>
      <c r="D107"/>
      <c r="E107"/>
      <c r="F107" s="48">
        <f>IFERROR(VLOOKUP(A107,'fx deals outs reworked'!$A$2:$R$889,16,0),0)</f>
        <v>0</v>
      </c>
    </row>
    <row r="108" spans="1:6" ht="15" x14ac:dyDescent="0.25">
      <c r="A108"/>
      <c r="B108" s="46" t="e">
        <f>VLOOKUP(A108,'fx deals outs reworked'!$A$2:$R$889,5,0)</f>
        <v>#N/A</v>
      </c>
      <c r="C108" s="47" t="e">
        <f>VLOOKUP(A108,'fx deals outs reworked'!$A$2:$R$889,4,0)</f>
        <v>#N/A</v>
      </c>
      <c r="D108"/>
      <c r="E108"/>
      <c r="F108" s="48">
        <f>IFERROR(VLOOKUP(A108,'fx deals outs reworked'!$A$2:$R$889,16,0),0)</f>
        <v>0</v>
      </c>
    </row>
    <row r="109" spans="1:6" ht="15" x14ac:dyDescent="0.25">
      <c r="A109"/>
      <c r="B109" s="46" t="e">
        <f>VLOOKUP(A109,'fx deals outs reworked'!$A$2:$R$889,5,0)</f>
        <v>#N/A</v>
      </c>
      <c r="C109" s="47" t="e">
        <f>VLOOKUP(A109,'fx deals outs reworked'!$A$2:$R$889,4,0)</f>
        <v>#N/A</v>
      </c>
      <c r="D109"/>
      <c r="E109"/>
      <c r="F109" s="48">
        <f>IFERROR(VLOOKUP(A109,'fx deals outs reworked'!$A$2:$R$889,16,0),0)</f>
        <v>0</v>
      </c>
    </row>
    <row r="110" spans="1:6" ht="15" x14ac:dyDescent="0.25">
      <c r="A110"/>
      <c r="B110" s="46" t="e">
        <f>VLOOKUP(A110,'fx deals outs reworked'!$A$2:$R$889,5,0)</f>
        <v>#N/A</v>
      </c>
      <c r="C110" s="47" t="e">
        <f>VLOOKUP(A110,'fx deals outs reworked'!$A$2:$R$889,4,0)</f>
        <v>#N/A</v>
      </c>
      <c r="D110"/>
      <c r="E110"/>
      <c r="F110" s="48">
        <f>IFERROR(VLOOKUP(A110,'fx deals outs reworked'!$A$2:$R$889,16,0),0)</f>
        <v>0</v>
      </c>
    </row>
    <row r="111" spans="1:6" ht="15" x14ac:dyDescent="0.25">
      <c r="A111"/>
      <c r="B111" s="46" t="e">
        <f>VLOOKUP(A111,'fx deals outs reworked'!$A$2:$R$889,5,0)</f>
        <v>#N/A</v>
      </c>
      <c r="C111" s="47" t="e">
        <f>VLOOKUP(A111,'fx deals outs reworked'!$A$2:$R$889,4,0)</f>
        <v>#N/A</v>
      </c>
      <c r="D111"/>
      <c r="E111"/>
      <c r="F111" s="48">
        <f>IFERROR(VLOOKUP(A111,'fx deals outs reworked'!$A$2:$R$889,16,0),0)</f>
        <v>0</v>
      </c>
    </row>
    <row r="112" spans="1:6" ht="15" x14ac:dyDescent="0.25">
      <c r="A112"/>
      <c r="B112" s="46" t="e">
        <f>VLOOKUP(A112,'fx deals outs reworked'!$A$2:$R$889,5,0)</f>
        <v>#N/A</v>
      </c>
      <c r="C112" s="47" t="e">
        <f>VLOOKUP(A112,'fx deals outs reworked'!$A$2:$R$889,4,0)</f>
        <v>#N/A</v>
      </c>
      <c r="D112"/>
      <c r="E112"/>
      <c r="F112" s="48">
        <f>IFERROR(VLOOKUP(A112,'fx deals outs reworked'!$A$2:$R$889,16,0),0)</f>
        <v>0</v>
      </c>
    </row>
    <row r="113" spans="1:6" ht="15" x14ac:dyDescent="0.25">
      <c r="A113"/>
      <c r="B113" s="46" t="e">
        <f>VLOOKUP(A113,'fx deals outs reworked'!$A$2:$R$889,5,0)</f>
        <v>#N/A</v>
      </c>
      <c r="C113" s="47" t="e">
        <f>VLOOKUP(A113,'fx deals outs reworked'!$A$2:$R$889,4,0)</f>
        <v>#N/A</v>
      </c>
      <c r="D113"/>
      <c r="E113"/>
      <c r="F113" s="48">
        <f>IFERROR(VLOOKUP(A113,'fx deals outs reworked'!$A$2:$R$889,16,0),0)</f>
        <v>0</v>
      </c>
    </row>
    <row r="114" spans="1:6" ht="15" x14ac:dyDescent="0.25">
      <c r="A114"/>
      <c r="B114" s="46" t="e">
        <f>VLOOKUP(A114,'fx deals outs reworked'!$A$2:$R$889,5,0)</f>
        <v>#N/A</v>
      </c>
      <c r="C114" s="47" t="e">
        <f>VLOOKUP(A114,'fx deals outs reworked'!$A$2:$R$889,4,0)</f>
        <v>#N/A</v>
      </c>
      <c r="D114"/>
      <c r="E114"/>
      <c r="F114" s="48">
        <f>IFERROR(VLOOKUP(A114,'fx deals outs reworked'!$A$2:$R$889,16,0),0)</f>
        <v>0</v>
      </c>
    </row>
    <row r="115" spans="1:6" ht="15" x14ac:dyDescent="0.25">
      <c r="A115"/>
      <c r="B115" s="46" t="e">
        <f>VLOOKUP(A115,'fx deals outs reworked'!$A$2:$R$889,5,0)</f>
        <v>#N/A</v>
      </c>
      <c r="C115" s="47" t="e">
        <f>VLOOKUP(A115,'fx deals outs reworked'!$A$2:$R$889,4,0)</f>
        <v>#N/A</v>
      </c>
      <c r="D115"/>
      <c r="E115"/>
      <c r="F115" s="48">
        <f>IFERROR(VLOOKUP(A115,'fx deals outs reworked'!$A$2:$R$889,16,0),0)</f>
        <v>0</v>
      </c>
    </row>
    <row r="116" spans="1:6" ht="15" x14ac:dyDescent="0.25">
      <c r="A116"/>
      <c r="B116" s="46" t="e">
        <f>VLOOKUP(A116,'fx deals outs reworked'!$A$2:$R$889,5,0)</f>
        <v>#N/A</v>
      </c>
      <c r="C116" s="47" t="e">
        <f>VLOOKUP(A116,'fx deals outs reworked'!$A$2:$R$889,4,0)</f>
        <v>#N/A</v>
      </c>
      <c r="D116"/>
      <c r="E116"/>
      <c r="F116" s="48">
        <f>IFERROR(VLOOKUP(A116,'fx deals outs reworked'!$A$2:$R$889,16,0),0)</f>
        <v>0</v>
      </c>
    </row>
    <row r="117" spans="1:6" ht="15" x14ac:dyDescent="0.25">
      <c r="A117"/>
      <c r="B117" s="46" t="e">
        <f>VLOOKUP(A117,'fx deals outs reworked'!$A$2:$R$889,5,0)</f>
        <v>#N/A</v>
      </c>
      <c r="C117" s="47" t="e">
        <f>VLOOKUP(A117,'fx deals outs reworked'!$A$2:$R$889,4,0)</f>
        <v>#N/A</v>
      </c>
      <c r="D117"/>
      <c r="E117"/>
      <c r="F117" s="48">
        <f>IFERROR(VLOOKUP(A117,'fx deals outs reworked'!$A$2:$R$889,16,0),0)</f>
        <v>0</v>
      </c>
    </row>
    <row r="118" spans="1:6" ht="15" x14ac:dyDescent="0.25">
      <c r="A118"/>
      <c r="B118" s="46" t="e">
        <f>VLOOKUP(A118,'fx deals outs reworked'!$A$2:$R$889,5,0)</f>
        <v>#N/A</v>
      </c>
      <c r="C118" s="47" t="e">
        <f>VLOOKUP(A118,'fx deals outs reworked'!$A$2:$R$889,4,0)</f>
        <v>#N/A</v>
      </c>
      <c r="D118"/>
      <c r="E118"/>
      <c r="F118" s="48">
        <f>IFERROR(VLOOKUP(A118,'fx deals outs reworked'!$A$2:$R$889,16,0),0)</f>
        <v>0</v>
      </c>
    </row>
    <row r="119" spans="1:6" ht="15" x14ac:dyDescent="0.25">
      <c r="A119"/>
      <c r="B119" s="46" t="e">
        <f>VLOOKUP(A119,'fx deals outs reworked'!$A$2:$R$889,5,0)</f>
        <v>#N/A</v>
      </c>
      <c r="C119" s="47" t="e">
        <f>VLOOKUP(A119,'fx deals outs reworked'!$A$2:$R$889,4,0)</f>
        <v>#N/A</v>
      </c>
      <c r="D119"/>
      <c r="E119"/>
      <c r="F119" s="48">
        <f>IFERROR(VLOOKUP(A119,'fx deals outs reworked'!$A$2:$R$889,16,0),0)</f>
        <v>0</v>
      </c>
    </row>
    <row r="120" spans="1:6" ht="15" x14ac:dyDescent="0.25">
      <c r="A120"/>
      <c r="B120" s="46" t="e">
        <f>VLOOKUP(A120,'fx deals outs reworked'!$A$2:$R$889,5,0)</f>
        <v>#N/A</v>
      </c>
      <c r="C120" s="47" t="e">
        <f>VLOOKUP(A120,'fx deals outs reworked'!$A$2:$R$889,4,0)</f>
        <v>#N/A</v>
      </c>
      <c r="D120"/>
      <c r="E120"/>
      <c r="F120" s="48">
        <f>IFERROR(VLOOKUP(A120,'fx deals outs reworked'!$A$2:$R$889,16,0),0)</f>
        <v>0</v>
      </c>
    </row>
    <row r="121" spans="1:6" ht="15" x14ac:dyDescent="0.25">
      <c r="A121"/>
      <c r="B121" s="46" t="e">
        <f>VLOOKUP(A121,'fx deals outs reworked'!$A$2:$R$889,5,0)</f>
        <v>#N/A</v>
      </c>
      <c r="C121" s="47" t="e">
        <f>VLOOKUP(A121,'fx deals outs reworked'!$A$2:$R$889,4,0)</f>
        <v>#N/A</v>
      </c>
      <c r="D121"/>
      <c r="E121"/>
      <c r="F121" s="48">
        <f>IFERROR(VLOOKUP(A121,'fx deals outs reworked'!$A$2:$R$889,16,0),0)</f>
        <v>0</v>
      </c>
    </row>
    <row r="122" spans="1:6" ht="15" x14ac:dyDescent="0.25">
      <c r="A122"/>
      <c r="B122" s="46" t="e">
        <f>VLOOKUP(A122,'fx deals outs reworked'!$A$2:$R$889,5,0)</f>
        <v>#N/A</v>
      </c>
      <c r="C122" s="47" t="e">
        <f>VLOOKUP(A122,'fx deals outs reworked'!$A$2:$R$889,4,0)</f>
        <v>#N/A</v>
      </c>
      <c r="D122"/>
      <c r="E122"/>
      <c r="F122" s="48">
        <f>IFERROR(VLOOKUP(A122,'fx deals outs reworked'!$A$2:$R$889,16,0),0)</f>
        <v>0</v>
      </c>
    </row>
    <row r="123" spans="1:6" ht="15" x14ac:dyDescent="0.25">
      <c r="A123"/>
      <c r="B123" s="46" t="e">
        <f>VLOOKUP(A123,'fx deals outs reworked'!$A$2:$R$889,5,0)</f>
        <v>#N/A</v>
      </c>
      <c r="C123" s="47" t="e">
        <f>VLOOKUP(A123,'fx deals outs reworked'!$A$2:$R$889,4,0)</f>
        <v>#N/A</v>
      </c>
      <c r="D123"/>
      <c r="E123"/>
      <c r="F123" s="48">
        <f>IFERROR(VLOOKUP(A123,'fx deals outs reworked'!$A$2:$R$889,16,0),0)</f>
        <v>0</v>
      </c>
    </row>
    <row r="124" spans="1:6" ht="15" x14ac:dyDescent="0.25">
      <c r="A124"/>
      <c r="B124" s="46" t="e">
        <f>VLOOKUP(A124,'fx deals outs reworked'!$A$2:$R$889,5,0)</f>
        <v>#N/A</v>
      </c>
      <c r="C124" s="47" t="e">
        <f>VLOOKUP(A124,'fx deals outs reworked'!$A$2:$R$889,4,0)</f>
        <v>#N/A</v>
      </c>
      <c r="D124"/>
      <c r="E124"/>
      <c r="F124" s="48">
        <f>IFERROR(VLOOKUP(A124,'fx deals outs reworked'!$A$2:$R$889,16,0),0)</f>
        <v>0</v>
      </c>
    </row>
    <row r="125" spans="1:6" ht="15" x14ac:dyDescent="0.25">
      <c r="A125"/>
      <c r="B125" s="46" t="e">
        <f>VLOOKUP(A125,'fx deals outs reworked'!$A$2:$R$889,5,0)</f>
        <v>#N/A</v>
      </c>
      <c r="C125" s="47" t="e">
        <f>VLOOKUP(A125,'fx deals outs reworked'!$A$2:$R$889,4,0)</f>
        <v>#N/A</v>
      </c>
      <c r="D125"/>
      <c r="E125"/>
      <c r="F125" s="48">
        <f>IFERROR(VLOOKUP(A125,'fx deals outs reworked'!$A$2:$R$889,16,0),0)</f>
        <v>0</v>
      </c>
    </row>
    <row r="126" spans="1:6" ht="15" x14ac:dyDescent="0.25">
      <c r="A126"/>
      <c r="B126" s="46" t="e">
        <f>VLOOKUP(A126,'fx deals outs reworked'!$A$2:$R$889,5,0)</f>
        <v>#N/A</v>
      </c>
      <c r="C126" s="47" t="e">
        <f>VLOOKUP(A126,'fx deals outs reworked'!$A$2:$R$889,4,0)</f>
        <v>#N/A</v>
      </c>
      <c r="D126"/>
      <c r="E126"/>
      <c r="F126" s="48">
        <f>IFERROR(VLOOKUP(A126,'fx deals outs reworked'!$A$2:$R$889,16,0),0)</f>
        <v>0</v>
      </c>
    </row>
    <row r="127" spans="1:6" ht="15" x14ac:dyDescent="0.25">
      <c r="A127"/>
      <c r="B127" s="46" t="e">
        <f>VLOOKUP(A127,'fx deals outs reworked'!$A$2:$R$889,5,0)</f>
        <v>#N/A</v>
      </c>
      <c r="C127" s="47" t="e">
        <f>VLOOKUP(A127,'fx deals outs reworked'!$A$2:$R$889,4,0)</f>
        <v>#N/A</v>
      </c>
      <c r="D127"/>
      <c r="E127"/>
      <c r="F127" s="48">
        <f>IFERROR(VLOOKUP(A127,'fx deals outs reworked'!$A$2:$R$889,16,0),0)</f>
        <v>0</v>
      </c>
    </row>
    <row r="128" spans="1:6" ht="15" x14ac:dyDescent="0.25">
      <c r="A128"/>
      <c r="B128" s="46" t="e">
        <f>VLOOKUP(A128,'fx deals outs reworked'!$A$2:$R$889,5,0)</f>
        <v>#N/A</v>
      </c>
      <c r="C128" s="47" t="e">
        <f>VLOOKUP(A128,'fx deals outs reworked'!$A$2:$R$889,4,0)</f>
        <v>#N/A</v>
      </c>
      <c r="D128"/>
      <c r="E128"/>
      <c r="F128" s="48">
        <f>IFERROR(VLOOKUP(A128,'fx deals outs reworked'!$A$2:$R$889,16,0),0)</f>
        <v>0</v>
      </c>
    </row>
    <row r="129" spans="1:6" ht="15" x14ac:dyDescent="0.25">
      <c r="A129"/>
      <c r="B129" s="46" t="e">
        <f>VLOOKUP(A129,'fx deals outs reworked'!$A$2:$R$889,5,0)</f>
        <v>#N/A</v>
      </c>
      <c r="C129" s="47" t="e">
        <f>VLOOKUP(A129,'fx deals outs reworked'!$A$2:$R$889,4,0)</f>
        <v>#N/A</v>
      </c>
      <c r="D129"/>
      <c r="E129"/>
      <c r="F129" s="48">
        <f>IFERROR(VLOOKUP(A129,'fx deals outs reworked'!$A$2:$R$889,16,0),0)</f>
        <v>0</v>
      </c>
    </row>
    <row r="130" spans="1:6" ht="15" x14ac:dyDescent="0.25">
      <c r="A130"/>
      <c r="B130" s="46" t="e">
        <f>VLOOKUP(A130,'fx deals outs reworked'!$A$2:$R$889,5,0)</f>
        <v>#N/A</v>
      </c>
      <c r="C130" s="47" t="e">
        <f>VLOOKUP(A130,'fx deals outs reworked'!$A$2:$R$889,4,0)</f>
        <v>#N/A</v>
      </c>
      <c r="D130"/>
      <c r="E130"/>
      <c r="F130" s="48">
        <f>IFERROR(VLOOKUP(A130,'fx deals outs reworked'!$A$2:$R$889,16,0),0)</f>
        <v>0</v>
      </c>
    </row>
    <row r="131" spans="1:6" ht="15" x14ac:dyDescent="0.25">
      <c r="A131"/>
      <c r="B131" s="46" t="e">
        <f>VLOOKUP(A131,'fx deals outs reworked'!$A$2:$R$889,5,0)</f>
        <v>#N/A</v>
      </c>
      <c r="C131" s="47" t="e">
        <f>VLOOKUP(A131,'fx deals outs reworked'!$A$2:$R$889,4,0)</f>
        <v>#N/A</v>
      </c>
      <c r="D131"/>
      <c r="E131"/>
      <c r="F131" s="48">
        <f>IFERROR(VLOOKUP(A131,'fx deals outs reworked'!$A$2:$R$889,16,0),0)</f>
        <v>0</v>
      </c>
    </row>
    <row r="132" spans="1:6" ht="15" x14ac:dyDescent="0.25">
      <c r="A132"/>
      <c r="B132" s="46" t="e">
        <f>VLOOKUP(A132,'fx deals outs reworked'!$A$2:$R$889,5,0)</f>
        <v>#N/A</v>
      </c>
      <c r="C132" s="47" t="e">
        <f>VLOOKUP(A132,'fx deals outs reworked'!$A$2:$R$889,4,0)</f>
        <v>#N/A</v>
      </c>
      <c r="D132"/>
      <c r="E132"/>
      <c r="F132" s="48">
        <f>IFERROR(VLOOKUP(A132,'fx deals outs reworked'!$A$2:$R$889,16,0),0)</f>
        <v>0</v>
      </c>
    </row>
    <row r="133" spans="1:6" ht="15" x14ac:dyDescent="0.25">
      <c r="A133"/>
      <c r="B133" s="46" t="e">
        <f>VLOOKUP(A133,'fx deals outs reworked'!$A$2:$R$889,5,0)</f>
        <v>#N/A</v>
      </c>
      <c r="C133" s="47" t="e">
        <f>VLOOKUP(A133,'fx deals outs reworked'!$A$2:$R$889,4,0)</f>
        <v>#N/A</v>
      </c>
      <c r="D133"/>
      <c r="E133"/>
      <c r="F133" s="48">
        <f>IFERROR(VLOOKUP(A133,'fx deals outs reworked'!$A$2:$R$889,16,0),0)</f>
        <v>0</v>
      </c>
    </row>
    <row r="134" spans="1:6" ht="15" x14ac:dyDescent="0.25">
      <c r="A134"/>
      <c r="B134" s="46" t="e">
        <f>VLOOKUP(A134,'fx deals outs reworked'!$A$2:$R$889,5,0)</f>
        <v>#N/A</v>
      </c>
      <c r="C134" s="47" t="e">
        <f>VLOOKUP(A134,'fx deals outs reworked'!$A$2:$R$889,4,0)</f>
        <v>#N/A</v>
      </c>
      <c r="D134"/>
      <c r="E134"/>
      <c r="F134" s="48">
        <f>IFERROR(VLOOKUP(A134,'fx deals outs reworked'!$A$2:$R$889,16,0),0)</f>
        <v>0</v>
      </c>
    </row>
    <row r="135" spans="1:6" ht="15" x14ac:dyDescent="0.25">
      <c r="A135"/>
      <c r="B135" s="46" t="e">
        <f>VLOOKUP(A135,'fx deals outs reworked'!$A$2:$R$889,5,0)</f>
        <v>#N/A</v>
      </c>
      <c r="C135" s="47" t="e">
        <f>VLOOKUP(A135,'fx deals outs reworked'!$A$2:$R$889,4,0)</f>
        <v>#N/A</v>
      </c>
      <c r="D135"/>
      <c r="E135"/>
      <c r="F135" s="48">
        <f>IFERROR(VLOOKUP(A135,'fx deals outs reworked'!$A$2:$R$889,16,0),0)</f>
        <v>0</v>
      </c>
    </row>
    <row r="136" spans="1:6" ht="15" x14ac:dyDescent="0.25">
      <c r="A136"/>
      <c r="B136" s="46" t="e">
        <f>VLOOKUP(A136,'fx deals outs reworked'!$A$2:$R$889,5,0)</f>
        <v>#N/A</v>
      </c>
      <c r="C136" s="47" t="e">
        <f>VLOOKUP(A136,'fx deals outs reworked'!$A$2:$R$889,4,0)</f>
        <v>#N/A</v>
      </c>
      <c r="D136"/>
      <c r="E136"/>
      <c r="F136" s="48">
        <f>IFERROR(VLOOKUP(A136,'fx deals outs reworked'!$A$2:$R$889,16,0),0)</f>
        <v>0</v>
      </c>
    </row>
    <row r="137" spans="1:6" ht="15" x14ac:dyDescent="0.25">
      <c r="A137"/>
      <c r="B137" s="46" t="e">
        <f>VLOOKUP(A137,'fx deals outs reworked'!$A$2:$R$889,5,0)</f>
        <v>#N/A</v>
      </c>
      <c r="C137" s="47" t="e">
        <f>VLOOKUP(A137,'fx deals outs reworked'!$A$2:$R$889,4,0)</f>
        <v>#N/A</v>
      </c>
      <c r="D137"/>
      <c r="E137"/>
      <c r="F137" s="48">
        <f>IFERROR(VLOOKUP(A137,'fx deals outs reworked'!$A$2:$R$889,16,0),0)</f>
        <v>0</v>
      </c>
    </row>
    <row r="138" spans="1:6" ht="15" x14ac:dyDescent="0.25">
      <c r="A138"/>
      <c r="B138" s="46" t="e">
        <f>VLOOKUP(A138,'fx deals outs reworked'!$A$2:$R$889,5,0)</f>
        <v>#N/A</v>
      </c>
      <c r="C138" s="47" t="e">
        <f>VLOOKUP(A138,'fx deals outs reworked'!$A$2:$R$889,4,0)</f>
        <v>#N/A</v>
      </c>
      <c r="D138"/>
      <c r="E138"/>
      <c r="F138" s="48">
        <f>IFERROR(VLOOKUP(A138,'fx deals outs reworked'!$A$2:$R$889,16,0),0)</f>
        <v>0</v>
      </c>
    </row>
    <row r="139" spans="1:6" ht="15" x14ac:dyDescent="0.25">
      <c r="A139"/>
      <c r="B139" s="46" t="e">
        <f>VLOOKUP(A139,'fx deals outs reworked'!$A$2:$R$889,5,0)</f>
        <v>#N/A</v>
      </c>
      <c r="C139" s="47" t="e">
        <f>VLOOKUP(A139,'fx deals outs reworked'!$A$2:$R$889,4,0)</f>
        <v>#N/A</v>
      </c>
      <c r="D139"/>
      <c r="E139"/>
      <c r="F139" s="48">
        <f>IFERROR(VLOOKUP(A139,'fx deals outs reworked'!$A$2:$R$889,16,0),0)</f>
        <v>0</v>
      </c>
    </row>
    <row r="140" spans="1:6" ht="15" x14ac:dyDescent="0.25">
      <c r="A140"/>
      <c r="B140" s="46" t="e">
        <f>VLOOKUP(A140,'fx deals outs reworked'!$A$2:$R$889,5,0)</f>
        <v>#N/A</v>
      </c>
      <c r="C140" s="47" t="e">
        <f>VLOOKUP(A140,'fx deals outs reworked'!$A$2:$R$889,4,0)</f>
        <v>#N/A</v>
      </c>
      <c r="D140"/>
      <c r="E140"/>
      <c r="F140" s="48">
        <f>IFERROR(VLOOKUP(A140,'fx deals outs reworked'!$A$2:$R$889,16,0),0)</f>
        <v>0</v>
      </c>
    </row>
    <row r="141" spans="1:6" ht="15" x14ac:dyDescent="0.25">
      <c r="A141"/>
      <c r="C141" s="47"/>
      <c r="E141" s="49">
        <f>SUM(E36:E140)</f>
        <v>0</v>
      </c>
      <c r="F141" s="48">
        <f>SUM(F36:F140)</f>
        <v>0</v>
      </c>
    </row>
    <row r="142" spans="1:6" ht="15" x14ac:dyDescent="0.25">
      <c r="A142"/>
      <c r="C142" s="47"/>
      <c r="F142" s="48"/>
    </row>
    <row r="143" spans="1:6" ht="15" x14ac:dyDescent="0.25">
      <c r="A143"/>
      <c r="C143" s="47"/>
      <c r="F143" s="48"/>
    </row>
    <row r="144" spans="1:6" ht="15" x14ac:dyDescent="0.25">
      <c r="A144"/>
      <c r="C144" s="47"/>
      <c r="F144" s="48"/>
    </row>
    <row r="145" spans="1:6" ht="15" x14ac:dyDescent="0.25">
      <c r="A145"/>
      <c r="C145" s="47"/>
      <c r="F145" s="48"/>
    </row>
    <row r="146" spans="1:6" ht="15" x14ac:dyDescent="0.25">
      <c r="A146"/>
      <c r="C146" s="47"/>
      <c r="F146" s="48"/>
    </row>
    <row r="147" spans="1:6" ht="15" x14ac:dyDescent="0.25">
      <c r="A147"/>
    </row>
    <row r="148" spans="1:6" ht="15" x14ac:dyDescent="0.25">
      <c r="A148"/>
    </row>
    <row r="149" spans="1:6" ht="15" x14ac:dyDescent="0.25">
      <c r="A149"/>
    </row>
    <row r="150" spans="1:6" ht="15" x14ac:dyDescent="0.25">
      <c r="A150"/>
    </row>
    <row r="151" spans="1:6" ht="15" x14ac:dyDescent="0.25">
      <c r="A151"/>
    </row>
    <row r="152" spans="1:6" ht="15" x14ac:dyDescent="0.25">
      <c r="A152"/>
    </row>
    <row r="153" spans="1:6" ht="15" x14ac:dyDescent="0.25">
      <c r="A153"/>
    </row>
    <row r="154" spans="1:6" ht="15" x14ac:dyDescent="0.25">
      <c r="A154"/>
    </row>
    <row r="155" spans="1:6" ht="15" x14ac:dyDescent="0.25">
      <c r="A155"/>
    </row>
    <row r="156" spans="1:6" ht="15" x14ac:dyDescent="0.25">
      <c r="A156"/>
    </row>
    <row r="157" spans="1:6" ht="15" x14ac:dyDescent="0.25">
      <c r="A157"/>
    </row>
    <row r="158" spans="1:6" ht="15" x14ac:dyDescent="0.25">
      <c r="A158"/>
    </row>
    <row r="159" spans="1:6" ht="15" x14ac:dyDescent="0.25">
      <c r="A159"/>
    </row>
    <row r="160" spans="1:6" ht="15" x14ac:dyDescent="0.25">
      <c r="A160"/>
    </row>
    <row r="161" spans="1:1" ht="15" x14ac:dyDescent="0.25">
      <c r="A161"/>
    </row>
    <row r="162" spans="1:1" ht="15" x14ac:dyDescent="0.25">
      <c r="A162"/>
    </row>
    <row r="163" spans="1:1" ht="15" x14ac:dyDescent="0.25">
      <c r="A163"/>
    </row>
    <row r="164" spans="1:1" ht="15" x14ac:dyDescent="0.25">
      <c r="A164"/>
    </row>
    <row r="165" spans="1:1" ht="15" x14ac:dyDescent="0.25">
      <c r="A165"/>
    </row>
    <row r="166" spans="1:1" ht="15" x14ac:dyDescent="0.25">
      <c r="A166"/>
    </row>
    <row r="167" spans="1:1" ht="15" x14ac:dyDescent="0.25">
      <c r="A167"/>
    </row>
    <row r="168" spans="1:1" ht="15" x14ac:dyDescent="0.25">
      <c r="A168"/>
    </row>
    <row r="169" spans="1:1" ht="15" x14ac:dyDescent="0.25">
      <c r="A169"/>
    </row>
    <row r="170" spans="1:1" ht="15" x14ac:dyDescent="0.25">
      <c r="A170"/>
    </row>
    <row r="171" spans="1:1" ht="15" x14ac:dyDescent="0.25">
      <c r="A171"/>
    </row>
    <row r="172" spans="1:1" ht="15" x14ac:dyDescent="0.25">
      <c r="A172"/>
    </row>
    <row r="173" spans="1:1" ht="15" x14ac:dyDescent="0.25">
      <c r="A173"/>
    </row>
    <row r="174" spans="1:1" ht="15" x14ac:dyDescent="0.25">
      <c r="A174"/>
    </row>
    <row r="175" spans="1:1" ht="15" x14ac:dyDescent="0.25">
      <c r="A175"/>
    </row>
    <row r="176" spans="1:1" ht="15" x14ac:dyDescent="0.25">
      <c r="A176"/>
    </row>
    <row r="177" spans="1:1" ht="15" x14ac:dyDescent="0.25">
      <c r="A177"/>
    </row>
    <row r="178" spans="1:1" ht="15" x14ac:dyDescent="0.25">
      <c r="A178"/>
    </row>
    <row r="179" spans="1:1" ht="15" x14ac:dyDescent="0.25">
      <c r="A179"/>
    </row>
    <row r="180" spans="1:1" ht="15" x14ac:dyDescent="0.25">
      <c r="A180"/>
    </row>
    <row r="181" spans="1:1" ht="15" x14ac:dyDescent="0.25">
      <c r="A181"/>
    </row>
    <row r="182" spans="1:1" ht="15" x14ac:dyDescent="0.25">
      <c r="A182"/>
    </row>
    <row r="183" spans="1:1" ht="15" x14ac:dyDescent="0.25">
      <c r="A183"/>
    </row>
    <row r="184" spans="1:1" ht="15" x14ac:dyDescent="0.25">
      <c r="A184"/>
    </row>
    <row r="185" spans="1:1" ht="15" x14ac:dyDescent="0.25">
      <c r="A185"/>
    </row>
    <row r="186" spans="1:1" ht="15" x14ac:dyDescent="0.25">
      <c r="A186"/>
    </row>
    <row r="187" spans="1:1" ht="15" x14ac:dyDescent="0.25">
      <c r="A187"/>
    </row>
    <row r="188" spans="1:1" ht="15" x14ac:dyDescent="0.25">
      <c r="A188"/>
    </row>
    <row r="189" spans="1:1" ht="15" x14ac:dyDescent="0.25">
      <c r="A189"/>
    </row>
    <row r="190" spans="1:1" ht="15" x14ac:dyDescent="0.25">
      <c r="A190"/>
    </row>
    <row r="191" spans="1:1" ht="15" x14ac:dyDescent="0.25">
      <c r="A191"/>
    </row>
    <row r="192" spans="1:1" ht="15" x14ac:dyDescent="0.25">
      <c r="A192"/>
    </row>
    <row r="193" spans="1:1" ht="15" x14ac:dyDescent="0.25">
      <c r="A193"/>
    </row>
    <row r="194" spans="1:1" ht="15" x14ac:dyDescent="0.25">
      <c r="A194"/>
    </row>
    <row r="195" spans="1:1" ht="15" x14ac:dyDescent="0.25">
      <c r="A195"/>
    </row>
    <row r="196" spans="1:1" ht="15" x14ac:dyDescent="0.25">
      <c r="A196"/>
    </row>
    <row r="197" spans="1:1" ht="15" x14ac:dyDescent="0.25">
      <c r="A197"/>
    </row>
    <row r="198" spans="1:1" ht="15" x14ac:dyDescent="0.25">
      <c r="A198"/>
    </row>
    <row r="199" spans="1:1" ht="15" x14ac:dyDescent="0.25">
      <c r="A199"/>
    </row>
    <row r="200" spans="1:1" ht="15" x14ac:dyDescent="0.25">
      <c r="A200"/>
    </row>
    <row r="201" spans="1:1" ht="15" x14ac:dyDescent="0.25">
      <c r="A201"/>
    </row>
    <row r="202" spans="1:1" ht="15" x14ac:dyDescent="0.25">
      <c r="A202"/>
    </row>
    <row r="203" spans="1:1" ht="15" x14ac:dyDescent="0.25">
      <c r="A203"/>
    </row>
    <row r="204" spans="1:1" ht="15" x14ac:dyDescent="0.25">
      <c r="A204"/>
    </row>
    <row r="205" spans="1:1" ht="15" x14ac:dyDescent="0.25">
      <c r="A205"/>
    </row>
    <row r="206" spans="1:1" ht="15" x14ac:dyDescent="0.25">
      <c r="A206"/>
    </row>
    <row r="207" spans="1:1" ht="15" x14ac:dyDescent="0.25">
      <c r="A207"/>
    </row>
    <row r="208" spans="1:1" ht="15" x14ac:dyDescent="0.25">
      <c r="A208"/>
    </row>
    <row r="209" spans="1:1" ht="15" x14ac:dyDescent="0.25">
      <c r="A209"/>
    </row>
    <row r="210" spans="1:1" ht="15" x14ac:dyDescent="0.25">
      <c r="A210"/>
    </row>
    <row r="211" spans="1:1" ht="15" x14ac:dyDescent="0.25">
      <c r="A211"/>
    </row>
    <row r="212" spans="1:1" ht="15" x14ac:dyDescent="0.25">
      <c r="A212"/>
    </row>
    <row r="213" spans="1:1" ht="15" x14ac:dyDescent="0.25">
      <c r="A213"/>
    </row>
    <row r="214" spans="1:1" ht="15" x14ac:dyDescent="0.25">
      <c r="A214"/>
    </row>
    <row r="215" spans="1:1" ht="15" x14ac:dyDescent="0.25">
      <c r="A215"/>
    </row>
    <row r="216" spans="1:1" ht="15" x14ac:dyDescent="0.25">
      <c r="A216"/>
    </row>
    <row r="217" spans="1:1" ht="15" x14ac:dyDescent="0.25">
      <c r="A217"/>
    </row>
    <row r="218" spans="1:1" ht="15" x14ac:dyDescent="0.25">
      <c r="A218"/>
    </row>
    <row r="219" spans="1:1" ht="15" x14ac:dyDescent="0.25">
      <c r="A219"/>
    </row>
    <row r="220" spans="1:1" ht="15" x14ac:dyDescent="0.25">
      <c r="A220"/>
    </row>
    <row r="221" spans="1:1" ht="15" x14ac:dyDescent="0.25">
      <c r="A221"/>
    </row>
    <row r="222" spans="1:1" ht="15" x14ac:dyDescent="0.25">
      <c r="A222"/>
    </row>
    <row r="223" spans="1:1" ht="15" x14ac:dyDescent="0.25">
      <c r="A223"/>
    </row>
    <row r="224" spans="1:1" ht="15" x14ac:dyDescent="0.25">
      <c r="A224"/>
    </row>
    <row r="225" spans="1:1" ht="15" x14ac:dyDescent="0.25">
      <c r="A225"/>
    </row>
    <row r="226" spans="1:1" ht="15" x14ac:dyDescent="0.25">
      <c r="A226"/>
    </row>
    <row r="227" spans="1:1" ht="15" x14ac:dyDescent="0.25">
      <c r="A227"/>
    </row>
    <row r="228" spans="1:1" ht="15" x14ac:dyDescent="0.25">
      <c r="A228"/>
    </row>
    <row r="229" spans="1:1" ht="15" x14ac:dyDescent="0.25">
      <c r="A229"/>
    </row>
    <row r="230" spans="1:1" ht="15" x14ac:dyDescent="0.25">
      <c r="A230"/>
    </row>
    <row r="231" spans="1:1" ht="15" x14ac:dyDescent="0.25">
      <c r="A231"/>
    </row>
    <row r="232" spans="1:1" ht="15" x14ac:dyDescent="0.25">
      <c r="A232"/>
    </row>
    <row r="233" spans="1:1" ht="15" x14ac:dyDescent="0.25">
      <c r="A233"/>
    </row>
    <row r="234" spans="1:1" ht="15" x14ac:dyDescent="0.25">
      <c r="A234"/>
    </row>
    <row r="235" spans="1:1" ht="15" x14ac:dyDescent="0.25">
      <c r="A235"/>
    </row>
    <row r="236" spans="1:1" ht="15" x14ac:dyDescent="0.25">
      <c r="A236"/>
    </row>
    <row r="237" spans="1:1" ht="15" x14ac:dyDescent="0.25">
      <c r="A237"/>
    </row>
    <row r="238" spans="1:1" ht="15" x14ac:dyDescent="0.25">
      <c r="A238"/>
    </row>
    <row r="239" spans="1:1" ht="15" x14ac:dyDescent="0.25">
      <c r="A239"/>
    </row>
    <row r="240" spans="1:1" ht="15" x14ac:dyDescent="0.25">
      <c r="A240"/>
    </row>
    <row r="241" spans="1:1" ht="15" x14ac:dyDescent="0.25">
      <c r="A241"/>
    </row>
    <row r="242" spans="1:1" ht="15" x14ac:dyDescent="0.25">
      <c r="A242"/>
    </row>
    <row r="243" spans="1:1" ht="15" x14ac:dyDescent="0.25">
      <c r="A243"/>
    </row>
    <row r="244" spans="1:1" ht="15" x14ac:dyDescent="0.25">
      <c r="A244"/>
    </row>
    <row r="245" spans="1:1" ht="15" x14ac:dyDescent="0.25">
      <c r="A245"/>
    </row>
    <row r="246" spans="1:1" ht="15" x14ac:dyDescent="0.25">
      <c r="A246"/>
    </row>
    <row r="247" spans="1:1" ht="15" x14ac:dyDescent="0.25">
      <c r="A247"/>
    </row>
    <row r="248" spans="1:1" ht="15" x14ac:dyDescent="0.25">
      <c r="A248"/>
    </row>
    <row r="249" spans="1:1" ht="15" x14ac:dyDescent="0.25">
      <c r="A249"/>
    </row>
    <row r="250" spans="1:1" ht="15" x14ac:dyDescent="0.25">
      <c r="A250"/>
    </row>
    <row r="251" spans="1:1" ht="15" x14ac:dyDescent="0.25">
      <c r="A251"/>
    </row>
    <row r="252" spans="1:1" ht="15" x14ac:dyDescent="0.25">
      <c r="A252"/>
    </row>
    <row r="253" spans="1:1" ht="15" x14ac:dyDescent="0.25">
      <c r="A253"/>
    </row>
    <row r="254" spans="1:1" ht="15" x14ac:dyDescent="0.25">
      <c r="A254"/>
    </row>
    <row r="255" spans="1:1" ht="15" x14ac:dyDescent="0.25">
      <c r="A255"/>
    </row>
    <row r="256" spans="1:1" ht="15" x14ac:dyDescent="0.25">
      <c r="A256"/>
    </row>
    <row r="257" spans="1:1" ht="15" x14ac:dyDescent="0.25">
      <c r="A257"/>
    </row>
    <row r="258" spans="1:1" ht="15" x14ac:dyDescent="0.25">
      <c r="A258"/>
    </row>
    <row r="259" spans="1:1" ht="15" x14ac:dyDescent="0.25">
      <c r="A259"/>
    </row>
    <row r="260" spans="1:1" ht="15" x14ac:dyDescent="0.25">
      <c r="A260"/>
    </row>
    <row r="261" spans="1:1" ht="15" x14ac:dyDescent="0.25">
      <c r="A261"/>
    </row>
    <row r="262" spans="1:1" ht="15" x14ac:dyDescent="0.25">
      <c r="A262"/>
    </row>
    <row r="263" spans="1:1" ht="15" x14ac:dyDescent="0.25">
      <c r="A263"/>
    </row>
    <row r="264" spans="1:1" ht="15" x14ac:dyDescent="0.25">
      <c r="A264"/>
    </row>
    <row r="265" spans="1:1" ht="15" x14ac:dyDescent="0.25">
      <c r="A265"/>
    </row>
    <row r="266" spans="1:1" ht="15" x14ac:dyDescent="0.25">
      <c r="A266"/>
    </row>
    <row r="267" spans="1:1" ht="15" x14ac:dyDescent="0.25">
      <c r="A267"/>
    </row>
    <row r="268" spans="1:1" ht="15" x14ac:dyDescent="0.25">
      <c r="A268"/>
    </row>
    <row r="269" spans="1:1" ht="15" x14ac:dyDescent="0.25">
      <c r="A269"/>
    </row>
    <row r="270" spans="1:1" ht="15" x14ac:dyDescent="0.25">
      <c r="A270"/>
    </row>
    <row r="271" spans="1:1" ht="15" x14ac:dyDescent="0.25">
      <c r="A271"/>
    </row>
    <row r="272" spans="1:1" ht="15" x14ac:dyDescent="0.25">
      <c r="A272"/>
    </row>
    <row r="273" spans="1:1" ht="15" x14ac:dyDescent="0.25">
      <c r="A273"/>
    </row>
    <row r="274" spans="1:1" ht="15" x14ac:dyDescent="0.25">
      <c r="A274"/>
    </row>
    <row r="275" spans="1:1" ht="15" x14ac:dyDescent="0.25">
      <c r="A275"/>
    </row>
    <row r="276" spans="1:1" ht="15" x14ac:dyDescent="0.25">
      <c r="A276"/>
    </row>
    <row r="277" spans="1:1" ht="15" x14ac:dyDescent="0.25">
      <c r="A277"/>
    </row>
    <row r="278" spans="1:1" ht="15" x14ac:dyDescent="0.25">
      <c r="A278"/>
    </row>
    <row r="279" spans="1:1" ht="15" x14ac:dyDescent="0.25">
      <c r="A279"/>
    </row>
    <row r="280" spans="1:1" ht="15" x14ac:dyDescent="0.25">
      <c r="A280"/>
    </row>
    <row r="281" spans="1:1" ht="15" x14ac:dyDescent="0.25">
      <c r="A281"/>
    </row>
    <row r="282" spans="1:1" ht="15" x14ac:dyDescent="0.25">
      <c r="A282"/>
    </row>
    <row r="283" spans="1:1" ht="15" x14ac:dyDescent="0.25">
      <c r="A283"/>
    </row>
    <row r="284" spans="1:1" ht="15" x14ac:dyDescent="0.25">
      <c r="A284"/>
    </row>
    <row r="285" spans="1:1" ht="15" x14ac:dyDescent="0.25">
      <c r="A285"/>
    </row>
    <row r="286" spans="1:1" ht="15" x14ac:dyDescent="0.25">
      <c r="A286"/>
    </row>
    <row r="287" spans="1:1" ht="15" x14ac:dyDescent="0.25">
      <c r="A287"/>
    </row>
    <row r="288" spans="1:1" ht="15" x14ac:dyDescent="0.25">
      <c r="A288"/>
    </row>
    <row r="289" spans="1:1" ht="15" x14ac:dyDescent="0.25">
      <c r="A289"/>
    </row>
    <row r="290" spans="1:1" ht="15" x14ac:dyDescent="0.25">
      <c r="A290"/>
    </row>
    <row r="291" spans="1:1" ht="15" x14ac:dyDescent="0.25">
      <c r="A291"/>
    </row>
    <row r="292" spans="1:1" ht="15" x14ac:dyDescent="0.25">
      <c r="A292"/>
    </row>
    <row r="293" spans="1:1" ht="15" x14ac:dyDescent="0.25">
      <c r="A293"/>
    </row>
    <row r="294" spans="1:1" ht="15" x14ac:dyDescent="0.25">
      <c r="A294"/>
    </row>
    <row r="295" spans="1:1" ht="15" x14ac:dyDescent="0.25">
      <c r="A295"/>
    </row>
    <row r="296" spans="1:1" ht="15" x14ac:dyDescent="0.25">
      <c r="A296"/>
    </row>
    <row r="297" spans="1:1" ht="15" x14ac:dyDescent="0.25">
      <c r="A297"/>
    </row>
    <row r="298" spans="1:1" ht="15" x14ac:dyDescent="0.25">
      <c r="A298"/>
    </row>
    <row r="299" spans="1:1" ht="15" x14ac:dyDescent="0.25">
      <c r="A299"/>
    </row>
    <row r="300" spans="1:1" ht="15" x14ac:dyDescent="0.25">
      <c r="A300"/>
    </row>
    <row r="301" spans="1:1" ht="15" x14ac:dyDescent="0.25">
      <c r="A301"/>
    </row>
    <row r="302" spans="1:1" ht="15" x14ac:dyDescent="0.25">
      <c r="A302"/>
    </row>
    <row r="303" spans="1:1" ht="15" x14ac:dyDescent="0.25">
      <c r="A303"/>
    </row>
    <row r="304" spans="1:1" ht="15" x14ac:dyDescent="0.25">
      <c r="A304"/>
    </row>
    <row r="305" spans="1:1" ht="15" x14ac:dyDescent="0.25">
      <c r="A305"/>
    </row>
    <row r="306" spans="1:1" ht="15" x14ac:dyDescent="0.25">
      <c r="A306"/>
    </row>
    <row r="307" spans="1:1" ht="15" x14ac:dyDescent="0.25">
      <c r="A307"/>
    </row>
    <row r="308" spans="1:1" ht="15" x14ac:dyDescent="0.25">
      <c r="A308"/>
    </row>
    <row r="309" spans="1:1" ht="15" x14ac:dyDescent="0.25">
      <c r="A309"/>
    </row>
    <row r="310" spans="1:1" ht="15" x14ac:dyDescent="0.25">
      <c r="A310"/>
    </row>
    <row r="311" spans="1:1" ht="15" x14ac:dyDescent="0.25">
      <c r="A311"/>
    </row>
    <row r="312" spans="1:1" ht="15" x14ac:dyDescent="0.25">
      <c r="A312"/>
    </row>
    <row r="313" spans="1:1" ht="15" x14ac:dyDescent="0.25">
      <c r="A313"/>
    </row>
    <row r="314" spans="1:1" ht="15" x14ac:dyDescent="0.25">
      <c r="A314"/>
    </row>
    <row r="315" spans="1:1" ht="15" x14ac:dyDescent="0.25">
      <c r="A315"/>
    </row>
    <row r="316" spans="1:1" ht="15" x14ac:dyDescent="0.25">
      <c r="A316"/>
    </row>
    <row r="317" spans="1:1" ht="15" x14ac:dyDescent="0.25">
      <c r="A317"/>
    </row>
    <row r="318" spans="1:1" ht="15" x14ac:dyDescent="0.25">
      <c r="A318"/>
    </row>
    <row r="319" spans="1:1" ht="15" x14ac:dyDescent="0.25">
      <c r="A319"/>
    </row>
    <row r="320" spans="1:1" ht="15" x14ac:dyDescent="0.25">
      <c r="A320"/>
    </row>
    <row r="321" spans="1:1" ht="15" x14ac:dyDescent="0.25">
      <c r="A321"/>
    </row>
    <row r="322" spans="1:1" ht="15" x14ac:dyDescent="0.25">
      <c r="A322"/>
    </row>
    <row r="323" spans="1:1" ht="15" x14ac:dyDescent="0.25">
      <c r="A323"/>
    </row>
    <row r="324" spans="1:1" ht="15" x14ac:dyDescent="0.25">
      <c r="A324"/>
    </row>
    <row r="325" spans="1:1" ht="15" x14ac:dyDescent="0.25">
      <c r="A325"/>
    </row>
    <row r="326" spans="1:1" ht="15" x14ac:dyDescent="0.25">
      <c r="A326"/>
    </row>
    <row r="327" spans="1:1" ht="15" x14ac:dyDescent="0.25">
      <c r="A327"/>
    </row>
    <row r="328" spans="1:1" ht="15" x14ac:dyDescent="0.25">
      <c r="A328"/>
    </row>
    <row r="329" spans="1:1" ht="15" x14ac:dyDescent="0.25">
      <c r="A329"/>
    </row>
    <row r="330" spans="1:1" ht="15" x14ac:dyDescent="0.25">
      <c r="A330"/>
    </row>
    <row r="331" spans="1:1" ht="15" x14ac:dyDescent="0.25">
      <c r="A331"/>
    </row>
    <row r="332" spans="1:1" ht="15" x14ac:dyDescent="0.25">
      <c r="A332"/>
    </row>
    <row r="333" spans="1:1" ht="15" x14ac:dyDescent="0.25">
      <c r="A333"/>
    </row>
    <row r="334" spans="1:1" ht="15" x14ac:dyDescent="0.25">
      <c r="A334"/>
    </row>
    <row r="335" spans="1:1" ht="15" x14ac:dyDescent="0.25">
      <c r="A335"/>
    </row>
    <row r="336" spans="1:1" ht="15" x14ac:dyDescent="0.25">
      <c r="A336"/>
    </row>
    <row r="337" spans="1:1" ht="15" x14ac:dyDescent="0.25">
      <c r="A337"/>
    </row>
    <row r="338" spans="1:1" ht="15" x14ac:dyDescent="0.25">
      <c r="A338"/>
    </row>
    <row r="339" spans="1:1" ht="15" x14ac:dyDescent="0.25">
      <c r="A339"/>
    </row>
    <row r="340" spans="1:1" ht="15" x14ac:dyDescent="0.25">
      <c r="A340"/>
    </row>
    <row r="341" spans="1:1" ht="15" x14ac:dyDescent="0.25">
      <c r="A341"/>
    </row>
    <row r="342" spans="1:1" ht="15" x14ac:dyDescent="0.25">
      <c r="A342"/>
    </row>
    <row r="343" spans="1:1" ht="15" x14ac:dyDescent="0.25">
      <c r="A343"/>
    </row>
    <row r="344" spans="1:1" ht="15" x14ac:dyDescent="0.25">
      <c r="A344"/>
    </row>
    <row r="345" spans="1:1" ht="15" x14ac:dyDescent="0.25">
      <c r="A345"/>
    </row>
    <row r="346" spans="1:1" ht="15" x14ac:dyDescent="0.25">
      <c r="A346"/>
    </row>
    <row r="347" spans="1:1" ht="15" x14ac:dyDescent="0.25">
      <c r="A347"/>
    </row>
    <row r="348" spans="1:1" ht="15" x14ac:dyDescent="0.25">
      <c r="A348"/>
    </row>
    <row r="349" spans="1:1" ht="15" x14ac:dyDescent="0.25">
      <c r="A349"/>
    </row>
    <row r="350" spans="1:1" ht="15" x14ac:dyDescent="0.25">
      <c r="A350"/>
    </row>
    <row r="351" spans="1:1" ht="15" x14ac:dyDescent="0.25">
      <c r="A351"/>
    </row>
    <row r="352" spans="1:1" ht="15" x14ac:dyDescent="0.25">
      <c r="A352"/>
    </row>
    <row r="353" spans="1:1" ht="15" x14ac:dyDescent="0.25">
      <c r="A353"/>
    </row>
    <row r="354" spans="1:1" ht="15" x14ac:dyDescent="0.25">
      <c r="A354"/>
    </row>
    <row r="355" spans="1:1" ht="15" x14ac:dyDescent="0.25">
      <c r="A355"/>
    </row>
    <row r="356" spans="1:1" ht="15" x14ac:dyDescent="0.25">
      <c r="A356"/>
    </row>
    <row r="357" spans="1:1" ht="15" x14ac:dyDescent="0.25">
      <c r="A357"/>
    </row>
    <row r="358" spans="1:1" ht="15" x14ac:dyDescent="0.25">
      <c r="A358"/>
    </row>
    <row r="359" spans="1:1" ht="15" x14ac:dyDescent="0.25">
      <c r="A359"/>
    </row>
    <row r="360" spans="1:1" ht="15" x14ac:dyDescent="0.25">
      <c r="A360"/>
    </row>
    <row r="361" spans="1:1" ht="15" x14ac:dyDescent="0.25">
      <c r="A361"/>
    </row>
    <row r="362" spans="1:1" ht="15" x14ac:dyDescent="0.25">
      <c r="A362"/>
    </row>
    <row r="363" spans="1:1" ht="15" x14ac:dyDescent="0.25">
      <c r="A363"/>
    </row>
    <row r="364" spans="1:1" ht="15" x14ac:dyDescent="0.25">
      <c r="A364"/>
    </row>
    <row r="365" spans="1:1" ht="15" x14ac:dyDescent="0.25">
      <c r="A365"/>
    </row>
    <row r="366" spans="1:1" ht="15" x14ac:dyDescent="0.25">
      <c r="A366"/>
    </row>
    <row r="367" spans="1:1" ht="15" x14ac:dyDescent="0.25">
      <c r="A367"/>
    </row>
    <row r="368" spans="1:1" ht="15" x14ac:dyDescent="0.25">
      <c r="A368"/>
    </row>
    <row r="369" spans="1:1" ht="15" x14ac:dyDescent="0.25">
      <c r="A369"/>
    </row>
    <row r="370" spans="1:1" ht="15" x14ac:dyDescent="0.25">
      <c r="A370"/>
    </row>
    <row r="371" spans="1:1" ht="15" x14ac:dyDescent="0.25">
      <c r="A371"/>
    </row>
    <row r="372" spans="1:1" ht="15" x14ac:dyDescent="0.25">
      <c r="A372"/>
    </row>
    <row r="373" spans="1:1" ht="15" x14ac:dyDescent="0.25">
      <c r="A373"/>
    </row>
    <row r="374" spans="1:1" ht="15" x14ac:dyDescent="0.25">
      <c r="A374"/>
    </row>
    <row r="375" spans="1:1" ht="15" x14ac:dyDescent="0.25">
      <c r="A375"/>
    </row>
    <row r="376" spans="1:1" ht="15" x14ac:dyDescent="0.25">
      <c r="A376"/>
    </row>
    <row r="377" spans="1:1" ht="15" x14ac:dyDescent="0.25">
      <c r="A377"/>
    </row>
    <row r="378" spans="1:1" ht="15" x14ac:dyDescent="0.25">
      <c r="A378"/>
    </row>
    <row r="379" spans="1:1" ht="15" x14ac:dyDescent="0.25">
      <c r="A379"/>
    </row>
    <row r="380" spans="1:1" ht="15" x14ac:dyDescent="0.25">
      <c r="A380"/>
    </row>
    <row r="381" spans="1:1" ht="15" x14ac:dyDescent="0.25">
      <c r="A381"/>
    </row>
    <row r="382" spans="1:1" ht="15" x14ac:dyDescent="0.25">
      <c r="A382"/>
    </row>
    <row r="383" spans="1:1" ht="15" x14ac:dyDescent="0.25">
      <c r="A383"/>
    </row>
    <row r="384" spans="1:1" ht="15" x14ac:dyDescent="0.25">
      <c r="A384"/>
    </row>
    <row r="385" spans="1:1" ht="15" x14ac:dyDescent="0.25">
      <c r="A385"/>
    </row>
    <row r="386" spans="1:1" ht="15" x14ac:dyDescent="0.25">
      <c r="A386"/>
    </row>
    <row r="387" spans="1:1" ht="15" x14ac:dyDescent="0.25">
      <c r="A387"/>
    </row>
    <row r="388" spans="1:1" ht="15" x14ac:dyDescent="0.25">
      <c r="A388"/>
    </row>
    <row r="389" spans="1:1" ht="15" x14ac:dyDescent="0.25">
      <c r="A389"/>
    </row>
    <row r="390" spans="1:1" ht="15" x14ac:dyDescent="0.25">
      <c r="A390"/>
    </row>
    <row r="391" spans="1:1" ht="15" x14ac:dyDescent="0.25">
      <c r="A391"/>
    </row>
    <row r="392" spans="1:1" ht="15" x14ac:dyDescent="0.25">
      <c r="A392"/>
    </row>
    <row r="393" spans="1:1" ht="15" x14ac:dyDescent="0.25">
      <c r="A393"/>
    </row>
    <row r="394" spans="1:1" ht="15" x14ac:dyDescent="0.25">
      <c r="A394"/>
    </row>
    <row r="395" spans="1:1" ht="15" x14ac:dyDescent="0.25">
      <c r="A395"/>
    </row>
    <row r="396" spans="1:1" ht="15" x14ac:dyDescent="0.25">
      <c r="A396"/>
    </row>
    <row r="397" spans="1:1" ht="15" x14ac:dyDescent="0.25">
      <c r="A397"/>
    </row>
    <row r="398" spans="1:1" ht="15" x14ac:dyDescent="0.25">
      <c r="A398"/>
    </row>
    <row r="399" spans="1:1" ht="15" x14ac:dyDescent="0.25">
      <c r="A399"/>
    </row>
    <row r="400" spans="1:1" ht="15" x14ac:dyDescent="0.25">
      <c r="A400"/>
    </row>
    <row r="401" spans="1:1" ht="15" x14ac:dyDescent="0.25">
      <c r="A401"/>
    </row>
    <row r="402" spans="1:1" ht="15" x14ac:dyDescent="0.25">
      <c r="A402"/>
    </row>
    <row r="403" spans="1:1" ht="15" x14ac:dyDescent="0.25">
      <c r="A403"/>
    </row>
    <row r="404" spans="1:1" ht="15" x14ac:dyDescent="0.25">
      <c r="A404"/>
    </row>
    <row r="405" spans="1:1" ht="15" x14ac:dyDescent="0.25">
      <c r="A405"/>
    </row>
    <row r="406" spans="1:1" ht="15" x14ac:dyDescent="0.25">
      <c r="A406"/>
    </row>
    <row r="407" spans="1:1" ht="15" x14ac:dyDescent="0.25">
      <c r="A407"/>
    </row>
    <row r="408" spans="1:1" ht="15" x14ac:dyDescent="0.25">
      <c r="A408"/>
    </row>
    <row r="409" spans="1:1" ht="15" x14ac:dyDescent="0.25">
      <c r="A409"/>
    </row>
    <row r="410" spans="1:1" ht="15" x14ac:dyDescent="0.25">
      <c r="A410"/>
    </row>
    <row r="411" spans="1:1" ht="15" x14ac:dyDescent="0.25">
      <c r="A411"/>
    </row>
    <row r="412" spans="1:1" ht="15" x14ac:dyDescent="0.25">
      <c r="A412"/>
    </row>
    <row r="413" spans="1:1" ht="15" x14ac:dyDescent="0.25">
      <c r="A413"/>
    </row>
    <row r="414" spans="1:1" ht="15" x14ac:dyDescent="0.25">
      <c r="A414"/>
    </row>
    <row r="415" spans="1:1" ht="15" x14ac:dyDescent="0.25">
      <c r="A415"/>
    </row>
    <row r="416" spans="1:1" ht="15" x14ac:dyDescent="0.25">
      <c r="A416"/>
    </row>
    <row r="417" spans="1:1" ht="15" x14ac:dyDescent="0.25">
      <c r="A417"/>
    </row>
    <row r="418" spans="1:1" ht="15" x14ac:dyDescent="0.25">
      <c r="A418"/>
    </row>
    <row r="419" spans="1:1" ht="15" x14ac:dyDescent="0.25">
      <c r="A419"/>
    </row>
    <row r="420" spans="1:1" ht="15" x14ac:dyDescent="0.25">
      <c r="A420"/>
    </row>
    <row r="421" spans="1:1" ht="15" x14ac:dyDescent="0.25">
      <c r="A421"/>
    </row>
    <row r="422" spans="1:1" ht="15" x14ac:dyDescent="0.25">
      <c r="A422"/>
    </row>
    <row r="423" spans="1:1" ht="15" x14ac:dyDescent="0.25">
      <c r="A423"/>
    </row>
    <row r="424" spans="1:1" ht="15" x14ac:dyDescent="0.25">
      <c r="A424"/>
    </row>
    <row r="425" spans="1:1" ht="15" x14ac:dyDescent="0.25">
      <c r="A425"/>
    </row>
    <row r="426" spans="1:1" ht="15" x14ac:dyDescent="0.25">
      <c r="A426"/>
    </row>
    <row r="427" spans="1:1" ht="15" x14ac:dyDescent="0.25">
      <c r="A427"/>
    </row>
    <row r="428" spans="1:1" ht="15" x14ac:dyDescent="0.25">
      <c r="A428"/>
    </row>
    <row r="429" spans="1:1" ht="15" x14ac:dyDescent="0.25">
      <c r="A429"/>
    </row>
    <row r="430" spans="1:1" ht="15" x14ac:dyDescent="0.25">
      <c r="A430"/>
    </row>
    <row r="431" spans="1:1" ht="15" x14ac:dyDescent="0.25">
      <c r="A431"/>
    </row>
    <row r="432" spans="1:1" ht="15" x14ac:dyDescent="0.25">
      <c r="A432"/>
    </row>
    <row r="433" spans="1:1" ht="15" x14ac:dyDescent="0.25">
      <c r="A433"/>
    </row>
    <row r="434" spans="1:1" ht="15" x14ac:dyDescent="0.25">
      <c r="A434"/>
    </row>
    <row r="435" spans="1:1" ht="15" x14ac:dyDescent="0.25">
      <c r="A435"/>
    </row>
    <row r="436" spans="1:1" ht="15" x14ac:dyDescent="0.25">
      <c r="A436"/>
    </row>
    <row r="437" spans="1:1" ht="15" x14ac:dyDescent="0.25">
      <c r="A437"/>
    </row>
    <row r="438" spans="1:1" ht="15" x14ac:dyDescent="0.25">
      <c r="A438"/>
    </row>
    <row r="439" spans="1:1" ht="15" x14ac:dyDescent="0.25">
      <c r="A439"/>
    </row>
    <row r="440" spans="1:1" ht="15" x14ac:dyDescent="0.25">
      <c r="A440"/>
    </row>
    <row r="441" spans="1:1" ht="15" x14ac:dyDescent="0.25">
      <c r="A441"/>
    </row>
    <row r="442" spans="1:1" ht="15" x14ac:dyDescent="0.25">
      <c r="A442"/>
    </row>
    <row r="443" spans="1:1" ht="15" x14ac:dyDescent="0.25">
      <c r="A443"/>
    </row>
    <row r="444" spans="1:1" ht="15" x14ac:dyDescent="0.25">
      <c r="A444"/>
    </row>
    <row r="445" spans="1:1" ht="15" x14ac:dyDescent="0.25">
      <c r="A445"/>
    </row>
    <row r="446" spans="1:1" ht="15" x14ac:dyDescent="0.25">
      <c r="A446"/>
    </row>
    <row r="447" spans="1:1" ht="15" x14ac:dyDescent="0.25">
      <c r="A447"/>
    </row>
    <row r="448" spans="1:1" ht="15" x14ac:dyDescent="0.25">
      <c r="A448"/>
    </row>
    <row r="449" spans="1:1" ht="15" x14ac:dyDescent="0.25">
      <c r="A449"/>
    </row>
    <row r="450" spans="1:1" ht="15" x14ac:dyDescent="0.25">
      <c r="A450"/>
    </row>
    <row r="451" spans="1:1" ht="15" x14ac:dyDescent="0.25">
      <c r="A451"/>
    </row>
    <row r="452" spans="1:1" ht="15" x14ac:dyDescent="0.25">
      <c r="A452"/>
    </row>
    <row r="453" spans="1:1" ht="15" x14ac:dyDescent="0.25">
      <c r="A453"/>
    </row>
    <row r="454" spans="1:1" ht="15" x14ac:dyDescent="0.25">
      <c r="A454"/>
    </row>
    <row r="455" spans="1:1" ht="15" x14ac:dyDescent="0.25">
      <c r="A455"/>
    </row>
    <row r="456" spans="1:1" ht="15" x14ac:dyDescent="0.25">
      <c r="A456"/>
    </row>
    <row r="457" spans="1:1" ht="15" x14ac:dyDescent="0.25">
      <c r="A457"/>
    </row>
    <row r="458" spans="1:1" ht="15" x14ac:dyDescent="0.25">
      <c r="A458"/>
    </row>
    <row r="459" spans="1:1" ht="15" x14ac:dyDescent="0.25">
      <c r="A459"/>
    </row>
    <row r="460" spans="1:1" ht="15" x14ac:dyDescent="0.25">
      <c r="A460"/>
    </row>
    <row r="461" spans="1:1" ht="15" x14ac:dyDescent="0.25">
      <c r="A461"/>
    </row>
    <row r="462" spans="1:1" ht="15" x14ac:dyDescent="0.25">
      <c r="A462"/>
    </row>
    <row r="463" spans="1:1" ht="15" x14ac:dyDescent="0.25">
      <c r="A463"/>
    </row>
    <row r="464" spans="1:1" ht="15" x14ac:dyDescent="0.25">
      <c r="A464"/>
    </row>
    <row r="465" spans="1:1" ht="15" x14ac:dyDescent="0.25">
      <c r="A465"/>
    </row>
    <row r="466" spans="1:1" ht="15" x14ac:dyDescent="0.25">
      <c r="A466"/>
    </row>
    <row r="467" spans="1:1" ht="15" x14ac:dyDescent="0.25">
      <c r="A467"/>
    </row>
    <row r="468" spans="1:1" ht="15" x14ac:dyDescent="0.25">
      <c r="A468"/>
    </row>
    <row r="469" spans="1:1" ht="15" x14ac:dyDescent="0.25">
      <c r="A469"/>
    </row>
    <row r="470" spans="1:1" ht="15" x14ac:dyDescent="0.25">
      <c r="A470"/>
    </row>
    <row r="471" spans="1:1" ht="15" x14ac:dyDescent="0.25">
      <c r="A471"/>
    </row>
    <row r="472" spans="1:1" ht="15" x14ac:dyDescent="0.25">
      <c r="A472"/>
    </row>
    <row r="473" spans="1:1" ht="15" x14ac:dyDescent="0.25">
      <c r="A473"/>
    </row>
    <row r="474" spans="1:1" ht="15" x14ac:dyDescent="0.25">
      <c r="A474"/>
    </row>
    <row r="475" spans="1:1" ht="15" x14ac:dyDescent="0.25">
      <c r="A475"/>
    </row>
    <row r="476" spans="1:1" ht="15" x14ac:dyDescent="0.25">
      <c r="A476"/>
    </row>
    <row r="477" spans="1:1" ht="15" x14ac:dyDescent="0.25">
      <c r="A477"/>
    </row>
    <row r="478" spans="1:1" ht="15" x14ac:dyDescent="0.25">
      <c r="A478"/>
    </row>
    <row r="479" spans="1:1" ht="15" x14ac:dyDescent="0.25">
      <c r="A479"/>
    </row>
    <row r="480" spans="1:1" ht="15" x14ac:dyDescent="0.25">
      <c r="A480"/>
    </row>
    <row r="481" spans="1:1" ht="15" x14ac:dyDescent="0.25">
      <c r="A481"/>
    </row>
    <row r="482" spans="1:1" ht="15" x14ac:dyDescent="0.25">
      <c r="A482"/>
    </row>
    <row r="483" spans="1:1" ht="15" x14ac:dyDescent="0.25">
      <c r="A483"/>
    </row>
    <row r="484" spans="1:1" ht="15" x14ac:dyDescent="0.25">
      <c r="A484"/>
    </row>
    <row r="485" spans="1:1" ht="15" x14ac:dyDescent="0.25">
      <c r="A485"/>
    </row>
    <row r="486" spans="1:1" ht="15" x14ac:dyDescent="0.25">
      <c r="A486"/>
    </row>
    <row r="487" spans="1:1" ht="15" x14ac:dyDescent="0.25">
      <c r="A487"/>
    </row>
    <row r="488" spans="1:1" ht="15" x14ac:dyDescent="0.25">
      <c r="A488"/>
    </row>
    <row r="489" spans="1:1" ht="15" x14ac:dyDescent="0.25">
      <c r="A489"/>
    </row>
    <row r="490" spans="1:1" ht="15" x14ac:dyDescent="0.25">
      <c r="A490"/>
    </row>
    <row r="491" spans="1:1" ht="15" x14ac:dyDescent="0.25">
      <c r="A491"/>
    </row>
    <row r="492" spans="1:1" ht="15" x14ac:dyDescent="0.25">
      <c r="A492"/>
    </row>
    <row r="493" spans="1:1" ht="15" x14ac:dyDescent="0.25">
      <c r="A493"/>
    </row>
    <row r="494" spans="1:1" ht="15" x14ac:dyDescent="0.25">
      <c r="A494"/>
    </row>
    <row r="495" spans="1:1" ht="15" x14ac:dyDescent="0.25">
      <c r="A495"/>
    </row>
    <row r="496" spans="1:1" ht="15" x14ac:dyDescent="0.25">
      <c r="A496"/>
    </row>
    <row r="497" spans="1:1" ht="15" x14ac:dyDescent="0.25">
      <c r="A497"/>
    </row>
    <row r="498" spans="1:1" ht="15" x14ac:dyDescent="0.25">
      <c r="A498"/>
    </row>
    <row r="499" spans="1:1" ht="15" x14ac:dyDescent="0.25">
      <c r="A499"/>
    </row>
    <row r="500" spans="1:1" ht="15" x14ac:dyDescent="0.25">
      <c r="A500"/>
    </row>
  </sheetData>
  <sortState ref="A37:D44">
    <sortCondition ref="D37:D44"/>
  </sortState>
  <pageMargins left="0.7" right="0.7" top="0.75" bottom="0.75" header="0.3" footer="0.3"/>
  <pageSetup scale="3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8" sqref="H8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fx deals outs reworked</vt:lpstr>
      <vt:lpstr>pivot FX DEALS OUT</vt:lpstr>
      <vt:lpstr>FA LIVE</vt:lpstr>
      <vt:lpstr>PIVOT FA LIVE</vt:lpstr>
      <vt:lpstr>COMPARISON</vt:lpstr>
      <vt:lpstr>CURR FX DEALS OUT</vt:lpstr>
      <vt:lpstr>CURR FA LIVE</vt:lpstr>
      <vt:lpstr>SUMMARY</vt:lpstr>
      <vt:lpstr>Sheet1</vt:lpstr>
      <vt:lpstr>Sheet2</vt:lpstr>
    </vt:vector>
  </TitlesOfParts>
  <Company>Barclays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Hauzaree, Pratibha Neeti : BAGL Mauritius</dc:creator>
  <cp:lastModifiedBy>Fa Kwong Wan Man Chung Robotics - RB-MU_Robot_PCG_01</cp:lastModifiedBy>
  <cp:lastPrinted>2018-04-02T08:43:51Z</cp:lastPrinted>
  <dcterms:created xsi:type="dcterms:W3CDTF">2016-09-29T13:17:53Z</dcterms:created>
  <dcterms:modified xsi:type="dcterms:W3CDTF">2020-08-24T12:00:15Z</dcterms:modified>
</cp:coreProperties>
</file>